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报价汇总" sheetId="1" state="visible" r:id="rId1"/>
    <sheet xmlns:r="http://schemas.openxmlformats.org/officeDocument/2006/relationships" name="2.C端模块" sheetId="2" state="visible" r:id="rId2"/>
    <sheet xmlns:r="http://schemas.openxmlformats.org/officeDocument/2006/relationships" name="3.后台模块" sheetId="3" state="visible" r:id="rId3"/>
    <sheet xmlns:r="http://schemas.openxmlformats.org/officeDocument/2006/relationships" name="4.报价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;-0.0;-"/>
    <numFmt numFmtId="165" formatCode="#,##0;-#,##0;-"/>
    <numFmt numFmtId="166" formatCode="0.0%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i val="1"/>
      <color rgb="00595959"/>
      <sz val="10"/>
    </font>
    <font>
      <name val="Microsoft YaHei"/>
      <b val="1"/>
      <color rgb="001F4E78"/>
      <sz val="10"/>
    </font>
    <font>
      <name val="Microsoft YaHei"/>
      <color rgb="00000000"/>
      <sz val="10"/>
    </font>
    <font>
      <name val="Microsoft YaHei"/>
      <b val="1"/>
      <color rgb="009C0006"/>
      <sz val="11"/>
    </font>
    <font>
      <name val="Microsoft YaHei"/>
      <b val="1"/>
      <color rgb="001F4E78"/>
      <sz val="11"/>
    </font>
    <font>
      <name val="Microsoft YaHei"/>
      <color rgb="000000FF"/>
      <sz val="10"/>
    </font>
    <font>
      <name val="Microsoft YaHe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8EA9DB"/>
      </patternFill>
    </fill>
    <fill>
      <patternFill patternType="solid">
        <fgColor rgb="00E7E6E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 wrapText="1"/>
    </xf>
    <xf numFmtId="165" fontId="8" fillId="7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164" fontId="7" fillId="6" borderId="1" applyAlignment="1" pivotButton="0" quotePrefix="0" xfId="0">
      <alignment horizontal="right" vertical="center"/>
    </xf>
    <xf numFmtId="0" fontId="4" fillId="0" borderId="1" pivotButton="0" quotePrefix="0" xfId="0"/>
    <xf numFmtId="0" fontId="6" fillId="5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2" ht="32" customHeight="1">
      <c r="B2" s="1" t="inlineStr">
        <is>
          <t>体彩衍生品商城小程序 — 系统报价汇总</t>
        </is>
      </c>
    </row>
    <row r="3" ht="18" customHeight="1">
      <c r="B3" s="2" t="inlineStr">
        <is>
          <t>范围：C 端小程序 + 运营管理后台（功能点细化到三级模块）</t>
        </is>
      </c>
    </row>
    <row r="5" ht="28" customHeight="1">
      <c r="B5" s="3" t="inlineStr">
        <is>
          <t>C 端一级模块</t>
        </is>
      </c>
      <c r="C5" s="3" t="inlineStr">
        <is>
          <t>人天</t>
        </is>
      </c>
      <c r="D5" s="3" t="inlineStr">
        <is>
          <t>金额（元）</t>
        </is>
      </c>
      <c r="E5" s="3" t="inlineStr">
        <is>
          <t>后台一级模块</t>
        </is>
      </c>
      <c r="F5" s="3" t="inlineStr">
        <is>
          <t>人天</t>
        </is>
      </c>
      <c r="G5" s="3" t="inlineStr">
        <is>
          <t>金额（元）</t>
        </is>
      </c>
      <c r="H5" s="3" t="inlineStr">
        <is>
          <t>合计人天</t>
        </is>
      </c>
      <c r="I5" s="3" t="inlineStr">
        <is>
          <t>合计金额（元）</t>
        </is>
      </c>
    </row>
    <row r="6" ht="22" customHeight="1">
      <c r="B6" s="4" t="inlineStr">
        <is>
          <t>A. 首页</t>
        </is>
      </c>
      <c r="C6" s="5">
        <f>SUMIF('2.C端模块'!C:C,B6,'2.C端模块'!G:G)</f>
        <v/>
      </c>
      <c r="D6" s="6">
        <f>SUMIF('2.C端模块'!C:C,B6,'2.C端模块'!I:I)</f>
        <v/>
      </c>
      <c r="E6" s="4" t="inlineStr">
        <is>
          <t>H. 工作台</t>
        </is>
      </c>
      <c r="F6" s="5">
        <f>SUMIF('3.后台模块'!C:C,E6,'3.后台模块'!G:G)</f>
        <v/>
      </c>
      <c r="G6" s="6">
        <f>SUMIF('3.后台模块'!C:C,E6,'3.后台模块'!I:I)</f>
        <v/>
      </c>
      <c r="H6" s="5">
        <f>IFERROR(C6,0)+IFERROR(F6,0)</f>
        <v/>
      </c>
      <c r="I6" s="6">
        <f>IFERROR(D6,0)+IFERROR(G6,0)</f>
        <v/>
      </c>
    </row>
    <row r="7" ht="22" customHeight="1">
      <c r="B7" s="4" t="inlineStr">
        <is>
          <t>B. 商品</t>
        </is>
      </c>
      <c r="C7" s="5">
        <f>SUMIF('2.C端模块'!C:C,B7,'2.C端模块'!G:G)</f>
        <v/>
      </c>
      <c r="D7" s="6">
        <f>SUMIF('2.C端模块'!C:C,B7,'2.C端模块'!I:I)</f>
        <v/>
      </c>
      <c r="E7" s="4" t="inlineStr">
        <is>
          <t>I. 商品管理</t>
        </is>
      </c>
      <c r="F7" s="5">
        <f>SUMIF('3.后台模块'!C:C,E7,'3.后台模块'!G:G)</f>
        <v/>
      </c>
      <c r="G7" s="6">
        <f>SUMIF('3.后台模块'!C:C,E7,'3.后台模块'!I:I)</f>
        <v/>
      </c>
      <c r="H7" s="5">
        <f>IFERROR(C7,0)+IFERROR(F7,0)</f>
        <v/>
      </c>
      <c r="I7" s="6">
        <f>IFERROR(D7,0)+IFERROR(G7,0)</f>
        <v/>
      </c>
    </row>
    <row r="8" ht="22" customHeight="1">
      <c r="B8" s="4" t="inlineStr">
        <is>
          <t>C. 购物车</t>
        </is>
      </c>
      <c r="C8" s="5">
        <f>SUMIF('2.C端模块'!C:C,B8,'2.C端模块'!G:G)</f>
        <v/>
      </c>
      <c r="D8" s="6">
        <f>SUMIF('2.C端模块'!C:C,B8,'2.C端模块'!I:I)</f>
        <v/>
      </c>
      <c r="E8" s="4" t="inlineStr">
        <is>
          <t>J. 订单管理</t>
        </is>
      </c>
      <c r="F8" s="5">
        <f>SUMIF('3.后台模块'!C:C,E8,'3.后台模块'!G:G)</f>
        <v/>
      </c>
      <c r="G8" s="6">
        <f>SUMIF('3.后台模块'!C:C,E8,'3.后台模块'!I:I)</f>
        <v/>
      </c>
      <c r="H8" s="5">
        <f>IFERROR(C8,0)+IFERROR(F8,0)</f>
        <v/>
      </c>
      <c r="I8" s="6">
        <f>IFERROR(D8,0)+IFERROR(G8,0)</f>
        <v/>
      </c>
    </row>
    <row r="9" ht="22" customHeight="1">
      <c r="B9" s="4" t="inlineStr">
        <is>
          <t>D. 订单</t>
        </is>
      </c>
      <c r="C9" s="5">
        <f>SUMIF('2.C端模块'!C:C,B9,'2.C端模块'!G:G)</f>
        <v/>
      </c>
      <c r="D9" s="6">
        <f>SUMIF('2.C端模块'!C:C,B9,'2.C端模块'!I:I)</f>
        <v/>
      </c>
      <c r="E9" s="4" t="inlineStr">
        <is>
          <t>K. 渠道供货</t>
        </is>
      </c>
      <c r="F9" s="5">
        <f>SUMIF('3.后台模块'!C:C,E9,'3.后台模块'!G:G)</f>
        <v/>
      </c>
      <c r="G9" s="6">
        <f>SUMIF('3.后台模块'!C:C,E9,'3.后台模块'!I:I)</f>
        <v/>
      </c>
      <c r="H9" s="5">
        <f>IFERROR(C9,0)+IFERROR(F9,0)</f>
        <v/>
      </c>
      <c r="I9" s="6">
        <f>IFERROR(D9,0)+IFERROR(G9,0)</f>
        <v/>
      </c>
    </row>
    <row r="10" ht="22" customHeight="1">
      <c r="B10" s="4" t="inlineStr">
        <is>
          <t>E. 用户</t>
        </is>
      </c>
      <c r="C10" s="5">
        <f>SUMIF('2.C端模块'!C:C,B10,'2.C端模块'!G:G)</f>
        <v/>
      </c>
      <c r="D10" s="6">
        <f>SUMIF('2.C端模块'!C:C,B10,'2.C端模块'!I:I)</f>
        <v/>
      </c>
      <c r="E10" s="4" t="inlineStr">
        <is>
          <t>L. 地区营销</t>
        </is>
      </c>
      <c r="F10" s="5">
        <f>SUMIF('3.后台模块'!C:C,E10,'3.后台模块'!G:G)</f>
        <v/>
      </c>
      <c r="G10" s="6">
        <f>SUMIF('3.后台模块'!C:C,E10,'3.后台模块'!I:I)</f>
        <v/>
      </c>
      <c r="H10" s="5">
        <f>IFERROR(C10,0)+IFERROR(F10,0)</f>
        <v/>
      </c>
      <c r="I10" s="6">
        <f>IFERROR(D10,0)+IFERROR(G10,0)</f>
        <v/>
      </c>
    </row>
    <row r="11" ht="22" customHeight="1">
      <c r="B11" s="4" t="inlineStr">
        <is>
          <t>F. 公共能力</t>
        </is>
      </c>
      <c r="C11" s="5">
        <f>SUMIF('2.C端模块'!C:C,B11,'2.C端模块'!G:G)</f>
        <v/>
      </c>
      <c r="D11" s="6">
        <f>SUMIF('2.C端模块'!C:C,B11,'2.C端模块'!I:I)</f>
        <v/>
      </c>
      <c r="E11" s="4" t="inlineStr">
        <is>
          <t>M. 财务管理</t>
        </is>
      </c>
      <c r="F11" s="5">
        <f>SUMIF('3.后台模块'!C:C,E11,'3.后台模块'!G:G)</f>
        <v/>
      </c>
      <c r="G11" s="6">
        <f>SUMIF('3.后台模块'!C:C,E11,'3.后台模块'!I:I)</f>
        <v/>
      </c>
      <c r="H11" s="5">
        <f>IFERROR(C11,0)+IFERROR(F11,0)</f>
        <v/>
      </c>
      <c r="I11" s="6">
        <f>IFERROR(D11,0)+IFERROR(G11,0)</f>
        <v/>
      </c>
    </row>
    <row r="12" ht="22" customHeight="1">
      <c r="B12" s="4" t="inlineStr"/>
      <c r="C12" s="5" t="inlineStr"/>
      <c r="D12" s="6" t="inlineStr"/>
      <c r="E12" s="4" t="inlineStr">
        <is>
          <t>G. 系统认证</t>
        </is>
      </c>
      <c r="F12" s="5">
        <f>SUMIF('3.后台模块'!C:C,E12,'3.后台模块'!G:G)</f>
        <v/>
      </c>
      <c r="G12" s="6">
        <f>SUMIF('3.后台模块'!C:C,E12,'3.后台模块'!I:I)</f>
        <v/>
      </c>
      <c r="H12" s="5">
        <f>IFERROR(C12,0)+IFERROR(F12,0)</f>
        <v/>
      </c>
      <c r="I12" s="6">
        <f>IFERROR(D12,0)+IFERROR(G12,0)</f>
        <v/>
      </c>
    </row>
    <row r="13" ht="22" customHeight="1">
      <c r="B13" s="4" t="inlineStr"/>
      <c r="C13" s="5" t="inlineStr"/>
      <c r="D13" s="6" t="inlineStr"/>
      <c r="E13" s="4" t="inlineStr">
        <is>
          <t>N. 系统配置</t>
        </is>
      </c>
      <c r="F13" s="5">
        <f>SUMIF('3.后台模块'!C:C,E13,'3.后台模块'!G:G)</f>
        <v/>
      </c>
      <c r="G13" s="6">
        <f>SUMIF('3.后台模块'!C:C,E13,'3.后台模块'!I:I)</f>
        <v/>
      </c>
      <c r="H13" s="5">
        <f>IFERROR(C13,0)+IFERROR(F13,0)</f>
        <v/>
      </c>
      <c r="I13" s="6">
        <f>IFERROR(D13,0)+IFERROR(G13,0)</f>
        <v/>
      </c>
    </row>
    <row r="14" ht="22" customHeight="1">
      <c r="B14" s="4" t="inlineStr"/>
      <c r="C14" s="5" t="inlineStr"/>
      <c r="D14" s="6" t="inlineStr"/>
      <c r="E14" s="4" t="inlineStr">
        <is>
          <t>O. 公共 Shell</t>
        </is>
      </c>
      <c r="F14" s="5">
        <f>SUMIF('3.后台模块'!C:C,E14,'3.后台模块'!G:G)</f>
        <v/>
      </c>
      <c r="G14" s="6">
        <f>SUMIF('3.后台模块'!C:C,E14,'3.后台模块'!I:I)</f>
        <v/>
      </c>
      <c r="H14" s="5">
        <f>IFERROR(C14,0)+IFERROR(F14,0)</f>
        <v/>
      </c>
      <c r="I14" s="6">
        <f>IFERROR(D14,0)+IFERROR(G14,0)</f>
        <v/>
      </c>
    </row>
    <row r="15" ht="26" customHeight="1">
      <c r="B15" s="7" t="inlineStr">
        <is>
          <t>C 端小计</t>
        </is>
      </c>
      <c r="C15" s="8">
        <f>SUM(C6:C14)</f>
        <v/>
      </c>
      <c r="D15" s="9">
        <f>SUM(D6:D14)</f>
        <v/>
      </c>
      <c r="E15" s="7" t="inlineStr">
        <is>
          <t>后台小计</t>
        </is>
      </c>
      <c r="F15" s="8">
        <f>SUM(F6:F14)</f>
        <v/>
      </c>
      <c r="G15" s="9">
        <f>SUM(G6:G14)</f>
        <v/>
      </c>
      <c r="H15" s="8">
        <f>C15+F15</f>
        <v/>
      </c>
      <c r="I15" s="9">
        <f>D15+G15</f>
        <v/>
      </c>
    </row>
    <row r="17" ht="22" customHeight="1">
      <c r="B17" s="10" t="inlineStr">
        <is>
          <t>角色单价比照表（可调）</t>
        </is>
      </c>
    </row>
    <row r="18">
      <c r="B18" s="3" t="inlineStr">
        <is>
          <t>角色</t>
        </is>
      </c>
      <c r="C18" s="3" t="inlineStr">
        <is>
          <t>元/人天</t>
        </is>
      </c>
      <c r="D18" s="3" t="inlineStr">
        <is>
          <t>说明</t>
        </is>
      </c>
    </row>
    <row r="19">
      <c r="B19" s="4" t="inlineStr">
        <is>
          <t>前端开发</t>
        </is>
      </c>
      <c r="C19" s="11" t="n">
        <v>1300</v>
      </c>
      <c r="D19" s="4" t="inlineStr">
        <is>
          <t>含 Web 端与管理后台页面开发</t>
        </is>
      </c>
    </row>
    <row r="20">
      <c r="B20" s="4" t="inlineStr">
        <is>
          <t>小程序开发</t>
        </is>
      </c>
      <c r="C20" s="11" t="n">
        <v>1300</v>
      </c>
      <c r="D20" s="4" t="inlineStr">
        <is>
          <t>含 UniApp 跨端页面与组件</t>
        </is>
      </c>
    </row>
    <row r="21">
      <c r="B21" s="4" t="inlineStr">
        <is>
          <t>UI 设计师</t>
        </is>
      </c>
      <c r="C21" s="11" t="n">
        <v>1000</v>
      </c>
      <c r="D21" s="4" t="inlineStr">
        <is>
          <t>含视觉升级、主题与装修</t>
        </is>
      </c>
    </row>
    <row r="22">
      <c r="B22" s="4" t="inlineStr">
        <is>
          <t>测试工程师</t>
        </is>
      </c>
      <c r="C22" s="11" t="n">
        <v>900</v>
      </c>
      <c r="D22" s="4" t="inlineStr">
        <is>
          <t>含功能、回归与上线验收</t>
        </is>
      </c>
    </row>
    <row r="24" ht="26" customHeight="1">
      <c r="B24" s="7" t="inlineStr">
        <is>
          <t>开发费用合计（C 端 + 后台）</t>
        </is>
      </c>
      <c r="C24" s="7" t="n"/>
      <c r="D24" s="7" t="n"/>
      <c r="E24" s="7" t="n"/>
      <c r="F24" s="7" t="n"/>
      <c r="G24" s="7" t="n"/>
      <c r="H24" s="8">
        <f>H15</f>
        <v/>
      </c>
      <c r="I24" s="9">
        <f>I15</f>
        <v/>
      </c>
    </row>
    <row r="25">
      <c r="B25" s="12" t="inlineStr">
        <is>
          <t>税率（增值税）</t>
        </is>
      </c>
      <c r="C25" s="12" t="n"/>
      <c r="D25" s="12" t="n"/>
      <c r="E25" s="12" t="n"/>
      <c r="F25" s="12" t="n"/>
      <c r="G25" s="12" t="n"/>
      <c r="H25" s="13" t="n">
        <v>0.13</v>
      </c>
      <c r="I25" s="14">
        <f>I24*H25</f>
        <v/>
      </c>
    </row>
    <row r="26" ht="32" customHeight="1">
      <c r="B26" s="15" t="inlineStr">
        <is>
          <t>项目总价（含税）</t>
        </is>
      </c>
      <c r="C26" s="15" t="n"/>
      <c r="D26" s="15" t="n"/>
      <c r="E26" s="15" t="n"/>
      <c r="F26" s="15" t="n"/>
      <c r="G26" s="15" t="n"/>
      <c r="H26" s="15" t="n"/>
      <c r="I26" s="16">
        <f>I24+I25</f>
        <v/>
      </c>
    </row>
    <row r="28">
      <c r="B28" s="17" t="inlineStr">
        <is>
          <t>备注：</t>
        </is>
      </c>
    </row>
    <row r="29">
      <c r="B29" s="18" t="inlineStr">
        <is>
          <t>1. 工作量单位为「人天」，按 8 小时有效工时计算。</t>
        </is>
      </c>
    </row>
    <row r="30">
      <c r="B30" s="18" t="inlineStr">
        <is>
          <t>2. 蓝色单元格为可调参数：角色单价、税率、人天；调整后下方所有金额自动重算。</t>
        </is>
      </c>
    </row>
    <row r="31">
      <c r="B31" s="18" t="inlineStr">
        <is>
          <t>3. 包含：源代码、PRD 文档、数据库设计、测试用例、部署文档、培训与上线支持。</t>
        </is>
      </c>
    </row>
    <row r="32">
      <c r="B32" s="18" t="inlineStr">
        <is>
          <t>4. 不包含：服务器 / 短信 / 支付通道 / 第三方接口年费、设计素材版权采购。</t>
        </is>
      </c>
    </row>
    <row r="33">
      <c r="B33" s="18" t="inlineStr">
        <is>
          <t>5. 付款方式：30% 启动 + 40% 中期验收 + 25% 上线 + 5% 质保（3 个月）。</t>
        </is>
      </c>
    </row>
    <row r="34">
      <c r="B34" s="18" t="inlineStr">
        <is>
          <t>6. 本报价有效期 30 天，最终以双方合同为准。</t>
        </is>
      </c>
    </row>
  </sheetData>
  <mergeCells count="13">
    <mergeCell ref="B24:G24"/>
    <mergeCell ref="B30:I30"/>
    <mergeCell ref="B29:I29"/>
    <mergeCell ref="B33:I33"/>
    <mergeCell ref="B34:I34"/>
    <mergeCell ref="B17:D17"/>
    <mergeCell ref="B28:I28"/>
    <mergeCell ref="B2:H2"/>
    <mergeCell ref="B26:G26"/>
    <mergeCell ref="B31:I31"/>
    <mergeCell ref="B3:H3"/>
    <mergeCell ref="B32:I32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8" customWidth="1" min="4" max="4"/>
    <col width="42" customWidth="1" min="5" max="5"/>
    <col width="14" customWidth="1" min="6" max="6"/>
    <col width="8" customWidth="1" min="7" max="7"/>
    <col width="14" customWidth="1" min="8" max="8"/>
    <col width="14" customWidth="1" min="9" max="9"/>
  </cols>
  <sheetData>
    <row r="1" ht="30" customHeight="1">
      <c r="A1" s="1" t="inlineStr">
        <is>
          <t>体彩衍生品商城 — C端模块 3 级模块清单</t>
        </is>
      </c>
    </row>
    <row r="3" ht="28" customHeight="1">
      <c r="A3" s="3" t="inlineStr">
        <is>
          <t>编号</t>
        </is>
      </c>
      <c r="B3" s="3" t="inlineStr">
        <is>
          <t>层级</t>
        </is>
      </c>
      <c r="C3" s="3" t="inlineStr">
        <is>
          <t>一级模块</t>
        </is>
      </c>
      <c r="D3" s="3" t="inlineStr">
        <is>
          <t>二级模块</t>
        </is>
      </c>
      <c r="E3" s="3" t="inlineStr">
        <is>
          <t>三级模块</t>
        </is>
      </c>
      <c r="F3" s="3" t="inlineStr">
        <is>
          <t>角色</t>
        </is>
      </c>
      <c r="G3" s="3" t="inlineStr">
        <is>
          <t>人天</t>
        </is>
      </c>
      <c r="H3" s="3" t="inlineStr">
        <is>
          <t>单价（元/天）</t>
        </is>
      </c>
      <c r="I3" s="3" t="inlineStr">
        <is>
          <t>金额（元）</t>
        </is>
      </c>
    </row>
    <row r="4" ht="18" customHeight="1">
      <c r="A4" s="12" t="inlineStr">
        <is>
          <t>A1</t>
        </is>
      </c>
      <c r="B4" s="12" t="n">
        <v>3</v>
      </c>
      <c r="C4" s="19" t="inlineStr">
        <is>
          <t>A. 首页</t>
        </is>
      </c>
      <c r="D4" s="4" t="inlineStr">
        <is>
          <t>Banner 轮播</t>
        </is>
      </c>
      <c r="E4" s="4" t="inlineStr">
        <is>
          <t>自动/手动切换</t>
        </is>
      </c>
      <c r="F4" s="12" t="inlineStr">
        <is>
          <t>前端开发</t>
        </is>
      </c>
      <c r="G4" s="20" t="n">
        <v>0.4</v>
      </c>
      <c r="H4" s="14">
        <f>VLOOKUP(F4,'2.C端模块'!$E$76:$F$79,2,FALSE)</f>
        <v/>
      </c>
      <c r="I4" s="14">
        <f>G4*H4</f>
        <v/>
      </c>
    </row>
    <row r="5" ht="18" customHeight="1">
      <c r="A5" s="12" t="inlineStr">
        <is>
          <t>A2</t>
        </is>
      </c>
      <c r="B5" s="12" t="n">
        <v>3</v>
      </c>
      <c r="C5" s="19" t="inlineStr">
        <is>
          <t>A. 首页</t>
        </is>
      </c>
      <c r="D5" s="4" t="inlineStr">
        <is>
          <t>Banner 轮播</t>
        </is>
      </c>
      <c r="E5" s="4" t="inlineStr">
        <is>
          <t>点击跳转详情/活动页</t>
        </is>
      </c>
      <c r="F5" s="12" t="inlineStr">
        <is>
          <t>前端开发</t>
        </is>
      </c>
      <c r="G5" s="20" t="n">
        <v>0.3</v>
      </c>
      <c r="H5" s="14">
        <f>VLOOKUP(F5,'2.C端模块'!$E$76:$F$79,2,FALSE)</f>
        <v/>
      </c>
      <c r="I5" s="14">
        <f>G5*H5</f>
        <v/>
      </c>
    </row>
    <row r="6" ht="18" customHeight="1">
      <c r="A6" s="12" t="inlineStr">
        <is>
          <t>A3</t>
        </is>
      </c>
      <c r="B6" s="12" t="n">
        <v>3</v>
      </c>
      <c r="C6" s="19" t="inlineStr">
        <is>
          <t>A. 首页</t>
        </is>
      </c>
      <c r="D6" s="4" t="inlineStr">
        <is>
          <t>Banner 轮播</t>
        </is>
      </c>
      <c r="E6" s="4" t="inlineStr">
        <is>
          <t>营销活动配置拉取</t>
        </is>
      </c>
      <c r="F6" s="12" t="inlineStr">
        <is>
          <t>前端开发</t>
        </is>
      </c>
      <c r="G6" s="20" t="n">
        <v>0.3</v>
      </c>
      <c r="H6" s="14">
        <f>VLOOKUP(F6,'2.C端模块'!$E$76:$F$79,2,FALSE)</f>
        <v/>
      </c>
      <c r="I6" s="14">
        <f>G6*H6</f>
        <v/>
      </c>
    </row>
    <row r="7" ht="18" customHeight="1">
      <c r="A7" s="12" t="inlineStr">
        <is>
          <t>A4</t>
        </is>
      </c>
      <c r="B7" s="12" t="n">
        <v>3</v>
      </c>
      <c r="C7" s="19" t="inlineStr">
        <is>
          <t>A. 首页</t>
        </is>
      </c>
      <c r="D7" s="4" t="inlineStr">
        <is>
          <t>分类入口</t>
        </is>
      </c>
      <c r="E7" s="4" t="inlineStr">
        <is>
          <t>4-8 个宫格布局</t>
        </is>
      </c>
      <c r="F7" s="12" t="inlineStr">
        <is>
          <t>前端开发</t>
        </is>
      </c>
      <c r="G7" s="20" t="n">
        <v>0.3</v>
      </c>
      <c r="H7" s="14">
        <f>VLOOKUP(F7,'2.C端模块'!$E$76:$F$79,2,FALSE)</f>
        <v/>
      </c>
      <c r="I7" s="14">
        <f>G7*H7</f>
        <v/>
      </c>
    </row>
    <row r="8" ht="18" customHeight="1">
      <c r="A8" s="12" t="inlineStr">
        <is>
          <t>A5</t>
        </is>
      </c>
      <c r="B8" s="12" t="n">
        <v>3</v>
      </c>
      <c r="C8" s="19" t="inlineStr">
        <is>
          <t>A. 首页</t>
        </is>
      </c>
      <c r="D8" s="4" t="inlineStr">
        <is>
          <t>分类入口</t>
        </is>
      </c>
      <c r="E8" s="4" t="inlineStr">
        <is>
          <t>图标与名称渲染</t>
        </is>
      </c>
      <c r="F8" s="12" t="inlineStr">
        <is>
          <t>前端开发</t>
        </is>
      </c>
      <c r="G8" s="20" t="n">
        <v>0.3</v>
      </c>
      <c r="H8" s="14">
        <f>VLOOKUP(F8,'2.C端模块'!$E$76:$F$79,2,FALSE)</f>
        <v/>
      </c>
      <c r="I8" s="14">
        <f>G8*H8</f>
        <v/>
      </c>
    </row>
    <row r="9" ht="18" customHeight="1">
      <c r="A9" s="12" t="inlineStr">
        <is>
          <t>A6</t>
        </is>
      </c>
      <c r="B9" s="12" t="n">
        <v>3</v>
      </c>
      <c r="C9" s="19" t="inlineStr">
        <is>
          <t>A. 首页</t>
        </is>
      </c>
      <c r="D9" s="4" t="inlineStr">
        <is>
          <t>分类入口</t>
        </is>
      </c>
      <c r="E9" s="4" t="inlineStr">
        <is>
          <t>点击跳转商品列表</t>
        </is>
      </c>
      <c r="F9" s="12" t="inlineStr">
        <is>
          <t>前端开发</t>
        </is>
      </c>
      <c r="G9" s="20" t="n">
        <v>0.2</v>
      </c>
      <c r="H9" s="14">
        <f>VLOOKUP(F9,'2.C端模块'!$E$76:$F$79,2,FALSE)</f>
        <v/>
      </c>
      <c r="I9" s="14">
        <f>G9*H9</f>
        <v/>
      </c>
    </row>
    <row r="10" ht="18" customHeight="1">
      <c r="A10" s="12" t="inlineStr">
        <is>
          <t>A7</t>
        </is>
      </c>
      <c r="B10" s="12" t="n">
        <v>3</v>
      </c>
      <c r="C10" s="19" t="inlineStr">
        <is>
          <t>A. 首页</t>
        </is>
      </c>
      <c r="D10" s="4" t="inlineStr">
        <is>
          <t>热门商品</t>
        </is>
      </c>
      <c r="E10" s="4" t="inlineStr">
        <is>
          <t>商品卡片信息渲染</t>
        </is>
      </c>
      <c r="F10" s="12" t="inlineStr">
        <is>
          <t>前端开发</t>
        </is>
      </c>
      <c r="G10" s="20" t="n">
        <v>0.5</v>
      </c>
      <c r="H10" s="14">
        <f>VLOOKUP(F10,'2.C端模块'!$E$76:$F$79,2,FALSE)</f>
        <v/>
      </c>
      <c r="I10" s="14">
        <f>G10*H10</f>
        <v/>
      </c>
    </row>
    <row r="11" ht="18" customHeight="1">
      <c r="A11" s="12" t="inlineStr">
        <is>
          <t>A8</t>
        </is>
      </c>
      <c r="B11" s="12" t="n">
        <v>3</v>
      </c>
      <c r="C11" s="19" t="inlineStr">
        <is>
          <t>A. 首页</t>
        </is>
      </c>
      <c r="D11" s="4" t="inlineStr">
        <is>
          <t>热门商品</t>
        </is>
      </c>
      <c r="E11" s="4" t="inlineStr">
        <is>
          <t>加载更多/分页</t>
        </is>
      </c>
      <c r="F11" s="12" t="inlineStr">
        <is>
          <t>前端开发</t>
        </is>
      </c>
      <c r="G11" s="20" t="n">
        <v>0.5</v>
      </c>
      <c r="H11" s="14">
        <f>VLOOKUP(F11,'2.C端模块'!$E$76:$F$79,2,FALSE)</f>
        <v/>
      </c>
      <c r="I11" s="14">
        <f>G11*H11</f>
        <v/>
      </c>
    </row>
    <row r="12" ht="18" customHeight="1">
      <c r="A12" s="12" t="inlineStr">
        <is>
          <t>A9</t>
        </is>
      </c>
      <c r="B12" s="12" t="n">
        <v>3</v>
      </c>
      <c r="C12" s="19" t="inlineStr">
        <is>
          <t>A. 首页</t>
        </is>
      </c>
      <c r="D12" s="4" t="inlineStr">
        <is>
          <t>热门商品</t>
        </is>
      </c>
      <c r="E12" s="4" t="inlineStr">
        <is>
          <t>快捷加入购物车</t>
        </is>
      </c>
      <c r="F12" s="12" t="inlineStr">
        <is>
          <t>前端开发</t>
        </is>
      </c>
      <c r="G12" s="20" t="n">
        <v>0.5</v>
      </c>
      <c r="H12" s="14">
        <f>VLOOKUP(F12,'2.C端模块'!$E$76:$F$79,2,FALSE)</f>
        <v/>
      </c>
      <c r="I12" s="14">
        <f>G12*H12</f>
        <v/>
      </c>
    </row>
    <row r="13" ht="18" customHeight="1">
      <c r="A13" s="12" t="inlineStr">
        <is>
          <t>A10</t>
        </is>
      </c>
      <c r="B13" s="12" t="n">
        <v>3</v>
      </c>
      <c r="C13" s="19" t="inlineStr">
        <is>
          <t>A. 首页</t>
        </is>
      </c>
      <c r="D13" s="4" t="inlineStr">
        <is>
          <t>Tabbar 导航</t>
        </is>
      </c>
      <c r="E13" s="4" t="inlineStr">
        <is>
          <t>4 个主 Tab 切换</t>
        </is>
      </c>
      <c r="F13" s="12" t="inlineStr">
        <is>
          <t>前端开发</t>
        </is>
      </c>
      <c r="G13" s="20" t="n">
        <v>0.3</v>
      </c>
      <c r="H13" s="14">
        <f>VLOOKUP(F13,'2.C端模块'!$E$76:$F$79,2,FALSE)</f>
        <v/>
      </c>
      <c r="I13" s="14">
        <f>G13*H13</f>
        <v/>
      </c>
    </row>
    <row r="14" ht="18" customHeight="1">
      <c r="A14" s="12" t="inlineStr">
        <is>
          <t>A11</t>
        </is>
      </c>
      <c r="B14" s="12" t="n">
        <v>3</v>
      </c>
      <c r="C14" s="19" t="inlineStr">
        <is>
          <t>A. 首页</t>
        </is>
      </c>
      <c r="D14" s="4" t="inlineStr">
        <is>
          <t>Tabbar 导航</t>
        </is>
      </c>
      <c r="E14" s="4" t="inlineStr">
        <is>
          <t>未读消息小红点</t>
        </is>
      </c>
      <c r="F14" s="12" t="inlineStr">
        <is>
          <t>前端开发</t>
        </is>
      </c>
      <c r="G14" s="20" t="n">
        <v>0.3</v>
      </c>
      <c r="H14" s="14">
        <f>VLOOKUP(F14,'2.C端模块'!$E$76:$F$79,2,FALSE)</f>
        <v/>
      </c>
      <c r="I14" s="14">
        <f>G14*H14</f>
        <v/>
      </c>
    </row>
    <row r="15" ht="18" customHeight="1">
      <c r="A15" s="12" t="inlineStr">
        <is>
          <t>B1</t>
        </is>
      </c>
      <c r="B15" s="12" t="n">
        <v>3</v>
      </c>
      <c r="C15" s="19" t="inlineStr">
        <is>
          <t>B. 商品</t>
        </is>
      </c>
      <c r="D15" s="4" t="inlineStr">
        <is>
          <t>分类页</t>
        </is>
      </c>
      <c r="E15" s="4" t="inlineStr">
        <is>
          <t>左侧一级分类</t>
        </is>
      </c>
      <c r="F15" s="12" t="inlineStr">
        <is>
          <t>前端开发</t>
        </is>
      </c>
      <c r="G15" s="20" t="n">
        <v>0.5</v>
      </c>
      <c r="H15" s="14">
        <f>VLOOKUP(F15,'2.C端模块'!$E$76:$F$79,2,FALSE)</f>
        <v/>
      </c>
      <c r="I15" s="14">
        <f>G15*H15</f>
        <v/>
      </c>
    </row>
    <row r="16" ht="18" customHeight="1">
      <c r="A16" s="12" t="inlineStr">
        <is>
          <t>B2</t>
        </is>
      </c>
      <c r="B16" s="12" t="n">
        <v>3</v>
      </c>
      <c r="C16" s="19" t="inlineStr">
        <is>
          <t>B. 商品</t>
        </is>
      </c>
      <c r="D16" s="4" t="inlineStr">
        <is>
          <t>分类页</t>
        </is>
      </c>
      <c r="E16" s="4" t="inlineStr">
        <is>
          <t>右侧二级分类</t>
        </is>
      </c>
      <c r="F16" s="12" t="inlineStr">
        <is>
          <t>前端开发</t>
        </is>
      </c>
      <c r="G16" s="20" t="n">
        <v>0.5</v>
      </c>
      <c r="H16" s="14">
        <f>VLOOKUP(F16,'2.C端模块'!$E$76:$F$79,2,FALSE)</f>
        <v/>
      </c>
      <c r="I16" s="14">
        <f>G16*H16</f>
        <v/>
      </c>
    </row>
    <row r="17" ht="18" customHeight="1">
      <c r="A17" s="12" t="inlineStr">
        <is>
          <t>B3</t>
        </is>
      </c>
      <c r="B17" s="12" t="n">
        <v>3</v>
      </c>
      <c r="C17" s="19" t="inlineStr">
        <is>
          <t>B. 商品</t>
        </is>
      </c>
      <c r="D17" s="4" t="inlineStr">
        <is>
          <t>分类页</t>
        </is>
      </c>
      <c r="E17" s="4" t="inlineStr">
        <is>
          <t>切换刷新商品</t>
        </is>
      </c>
      <c r="F17" s="12" t="inlineStr">
        <is>
          <t>前端开发</t>
        </is>
      </c>
      <c r="G17" s="20" t="n">
        <v>0.5</v>
      </c>
      <c r="H17" s="14">
        <f>VLOOKUP(F17,'2.C端模块'!$E$76:$F$79,2,FALSE)</f>
        <v/>
      </c>
      <c r="I17" s="14">
        <f>G17*H17</f>
        <v/>
      </c>
    </row>
    <row r="18" ht="18" customHeight="1">
      <c r="A18" s="12" t="inlineStr">
        <is>
          <t>B4</t>
        </is>
      </c>
      <c r="B18" s="12" t="n">
        <v>3</v>
      </c>
      <c r="C18" s="19" t="inlineStr">
        <is>
          <t>B. 商品</t>
        </is>
      </c>
      <c r="D18" s="4" t="inlineStr">
        <is>
          <t>商品列表</t>
        </is>
      </c>
      <c r="E18" s="4" t="inlineStr">
        <is>
          <t>列表/网格视图切换</t>
        </is>
      </c>
      <c r="F18" s="12" t="inlineStr">
        <is>
          <t>前端开发</t>
        </is>
      </c>
      <c r="G18" s="20" t="n">
        <v>0.5</v>
      </c>
      <c r="H18" s="14">
        <f>VLOOKUP(F18,'2.C端模块'!$E$76:$F$79,2,FALSE)</f>
        <v/>
      </c>
      <c r="I18" s="14">
        <f>G18*H18</f>
        <v/>
      </c>
    </row>
    <row r="19" ht="18" customHeight="1">
      <c r="A19" s="12" t="inlineStr">
        <is>
          <t>B5</t>
        </is>
      </c>
      <c r="B19" s="12" t="n">
        <v>3</v>
      </c>
      <c r="C19" s="19" t="inlineStr">
        <is>
          <t>B. 商品</t>
        </is>
      </c>
      <c r="D19" s="4" t="inlineStr">
        <is>
          <t>商品列表</t>
        </is>
      </c>
      <c r="E19" s="4" t="inlineStr">
        <is>
          <t>价格/销量/综合排序</t>
        </is>
      </c>
      <c r="F19" s="12" t="inlineStr">
        <is>
          <t>前端开发</t>
        </is>
      </c>
      <c r="G19" s="20" t="n">
        <v>0.8</v>
      </c>
      <c r="H19" s="14">
        <f>VLOOKUP(F19,'2.C端模块'!$E$76:$F$79,2,FALSE)</f>
        <v/>
      </c>
      <c r="I19" s="14">
        <f>G19*H19</f>
        <v/>
      </c>
    </row>
    <row r="20" ht="18" customHeight="1">
      <c r="A20" s="12" t="inlineStr">
        <is>
          <t>B6</t>
        </is>
      </c>
      <c r="B20" s="12" t="n">
        <v>3</v>
      </c>
      <c r="C20" s="19" t="inlineStr">
        <is>
          <t>B. 商品</t>
        </is>
      </c>
      <c r="D20" s="4" t="inlineStr">
        <is>
          <t>商品列表</t>
        </is>
      </c>
      <c r="E20" s="4" t="inlineStr">
        <is>
          <t>多维筛选（分类/标签/价格区间）</t>
        </is>
      </c>
      <c r="F20" s="12" t="inlineStr">
        <is>
          <t>前端开发</t>
        </is>
      </c>
      <c r="G20" s="20" t="n">
        <v>0.7</v>
      </c>
      <c r="H20" s="14">
        <f>VLOOKUP(F20,'2.C端模块'!$E$76:$F$79,2,FALSE)</f>
        <v/>
      </c>
      <c r="I20" s="14">
        <f>G20*H20</f>
        <v/>
      </c>
    </row>
    <row r="21" ht="18" customHeight="1">
      <c r="A21" s="12" t="inlineStr">
        <is>
          <t>B7</t>
        </is>
      </c>
      <c r="B21" s="12" t="n">
        <v>3</v>
      </c>
      <c r="C21" s="19" t="inlineStr">
        <is>
          <t>B. 商品</t>
        </is>
      </c>
      <c r="D21" s="4" t="inlineStr">
        <is>
          <t>商品详情</t>
        </is>
      </c>
      <c r="E21" s="4" t="inlineStr">
        <is>
          <t>商品图片轮播</t>
        </is>
      </c>
      <c r="F21" s="12" t="inlineStr">
        <is>
          <t>前端开发</t>
        </is>
      </c>
      <c r="G21" s="20" t="n">
        <v>0.4</v>
      </c>
      <c r="H21" s="14">
        <f>VLOOKUP(F21,'2.C端模块'!$E$76:$F$79,2,FALSE)</f>
        <v/>
      </c>
      <c r="I21" s="14">
        <f>G21*H21</f>
        <v/>
      </c>
    </row>
    <row r="22" ht="18" customHeight="1">
      <c r="A22" s="12" t="inlineStr">
        <is>
          <t>B8</t>
        </is>
      </c>
      <c r="B22" s="12" t="n">
        <v>3</v>
      </c>
      <c r="C22" s="19" t="inlineStr">
        <is>
          <t>B. 商品</t>
        </is>
      </c>
      <c r="D22" s="4" t="inlineStr">
        <is>
          <t>商品详情</t>
        </is>
      </c>
      <c r="E22" s="4" t="inlineStr">
        <is>
          <t>SKU 规格选择弹层</t>
        </is>
      </c>
      <c r="F22" s="12" t="inlineStr">
        <is>
          <t>前端开发</t>
        </is>
      </c>
      <c r="G22" s="20" t="n">
        <v>1</v>
      </c>
      <c r="H22" s="14">
        <f>VLOOKUP(F22,'2.C端模块'!$E$76:$F$79,2,FALSE)</f>
        <v/>
      </c>
      <c r="I22" s="14">
        <f>G22*H22</f>
        <v/>
      </c>
    </row>
    <row r="23" ht="18" customHeight="1">
      <c r="A23" s="12" t="inlineStr">
        <is>
          <t>B9</t>
        </is>
      </c>
      <c r="B23" s="12" t="n">
        <v>3</v>
      </c>
      <c r="C23" s="19" t="inlineStr">
        <is>
          <t>B. 商品</t>
        </is>
      </c>
      <c r="D23" s="4" t="inlineStr">
        <is>
          <t>商品详情</t>
        </is>
      </c>
      <c r="E23" s="4" t="inlineStr">
        <is>
          <t>数量加减与库存校验</t>
        </is>
      </c>
      <c r="F23" s="12" t="inlineStr">
        <is>
          <t>前端开发</t>
        </is>
      </c>
      <c r="G23" s="20" t="n">
        <v>0.5</v>
      </c>
      <c r="H23" s="14">
        <f>VLOOKUP(F23,'2.C端模块'!$E$76:$F$79,2,FALSE)</f>
        <v/>
      </c>
      <c r="I23" s="14">
        <f>G23*H23</f>
        <v/>
      </c>
    </row>
    <row r="24" ht="18" customHeight="1">
      <c r="A24" s="12" t="inlineStr">
        <is>
          <t>B10</t>
        </is>
      </c>
      <c r="B24" s="12" t="n">
        <v>3</v>
      </c>
      <c r="C24" s="19" t="inlineStr">
        <is>
          <t>B. 商品</t>
        </is>
      </c>
      <c r="D24" s="4" t="inlineStr">
        <is>
          <t>商品详情</t>
        </is>
      </c>
      <c r="E24" s="4" t="inlineStr">
        <is>
          <t>富文本详情渲染</t>
        </is>
      </c>
      <c r="F24" s="12" t="inlineStr">
        <is>
          <t>前端开发</t>
        </is>
      </c>
      <c r="G24" s="20" t="n">
        <v>1</v>
      </c>
      <c r="H24" s="14">
        <f>VLOOKUP(F24,'2.C端模块'!$E$76:$F$79,2,FALSE)</f>
        <v/>
      </c>
      <c r="I24" s="14">
        <f>G24*H24</f>
        <v/>
      </c>
    </row>
    <row r="25" ht="18" customHeight="1">
      <c r="A25" s="12" t="inlineStr">
        <is>
          <t>B11</t>
        </is>
      </c>
      <c r="B25" s="12" t="n">
        <v>3</v>
      </c>
      <c r="C25" s="19" t="inlineStr">
        <is>
          <t>B. 商品</t>
        </is>
      </c>
      <c r="D25" s="4" t="inlineStr">
        <is>
          <t>商品详情</t>
        </is>
      </c>
      <c r="E25" s="4" t="inlineStr">
        <is>
          <t>加入购物车 / 立即购买</t>
        </is>
      </c>
      <c r="F25" s="12" t="inlineStr">
        <is>
          <t>前端开发</t>
        </is>
      </c>
      <c r="G25" s="20" t="n">
        <v>0.6</v>
      </c>
      <c r="H25" s="14">
        <f>VLOOKUP(F25,'2.C端模块'!$E$76:$F$79,2,FALSE)</f>
        <v/>
      </c>
      <c r="I25" s="14">
        <f>G25*H25</f>
        <v/>
      </c>
    </row>
    <row r="26" ht="18" customHeight="1">
      <c r="A26" s="12" t="inlineStr">
        <is>
          <t>C1</t>
        </is>
      </c>
      <c r="B26" s="12" t="n">
        <v>3</v>
      </c>
      <c r="C26" s="19" t="inlineStr">
        <is>
          <t>C. 购物车</t>
        </is>
      </c>
      <c r="D26" s="4" t="inlineStr">
        <is>
          <t>购物车列表</t>
        </is>
      </c>
      <c r="E26" s="4" t="inlineStr">
        <is>
          <t>按店铺/供货商分组</t>
        </is>
      </c>
      <c r="F26" s="12" t="inlineStr">
        <is>
          <t>前端开发</t>
        </is>
      </c>
      <c r="G26" s="20" t="n">
        <v>0.5</v>
      </c>
      <c r="H26" s="14">
        <f>VLOOKUP(F26,'2.C端模块'!$E$76:$F$79,2,FALSE)</f>
        <v/>
      </c>
      <c r="I26" s="14">
        <f>G26*H26</f>
        <v/>
      </c>
    </row>
    <row r="27" ht="18" customHeight="1">
      <c r="A27" s="12" t="inlineStr">
        <is>
          <t>C2</t>
        </is>
      </c>
      <c r="B27" s="12" t="n">
        <v>3</v>
      </c>
      <c r="C27" s="19" t="inlineStr">
        <is>
          <t>C. 购物车</t>
        </is>
      </c>
      <c r="D27" s="4" t="inlineStr">
        <is>
          <t>购物车列表</t>
        </is>
      </c>
      <c r="E27" s="4" t="inlineStr">
        <is>
          <t>单选 / 全选</t>
        </is>
      </c>
      <c r="F27" s="12" t="inlineStr">
        <is>
          <t>前端开发</t>
        </is>
      </c>
      <c r="G27" s="20" t="n">
        <v>0.5</v>
      </c>
      <c r="H27" s="14">
        <f>VLOOKUP(F27,'2.C端模块'!$E$76:$F$79,2,FALSE)</f>
        <v/>
      </c>
      <c r="I27" s="14">
        <f>G27*H27</f>
        <v/>
      </c>
    </row>
    <row r="28" ht="18" customHeight="1">
      <c r="A28" s="12" t="inlineStr">
        <is>
          <t>C3</t>
        </is>
      </c>
      <c r="B28" s="12" t="n">
        <v>3</v>
      </c>
      <c r="C28" s="19" t="inlineStr">
        <is>
          <t>C. 购物车</t>
        </is>
      </c>
      <c r="D28" s="4" t="inlineStr">
        <is>
          <t>购物车列表</t>
        </is>
      </c>
      <c r="E28" s="4" t="inlineStr">
        <is>
          <t>数量增减与失效清理</t>
        </is>
      </c>
      <c r="F28" s="12" t="inlineStr">
        <is>
          <t>前端开发</t>
        </is>
      </c>
      <c r="G28" s="20" t="n">
        <v>0.5</v>
      </c>
      <c r="H28" s="14">
        <f>VLOOKUP(F28,'2.C端模块'!$E$76:$F$79,2,FALSE)</f>
        <v/>
      </c>
      <c r="I28" s="14">
        <f>G28*H28</f>
        <v/>
      </c>
    </row>
    <row r="29" ht="18" customHeight="1">
      <c r="A29" s="12" t="inlineStr">
        <is>
          <t>C4</t>
        </is>
      </c>
      <c r="B29" s="12" t="n">
        <v>3</v>
      </c>
      <c r="C29" s="19" t="inlineStr">
        <is>
          <t>C. 购物车</t>
        </is>
      </c>
      <c r="D29" s="4" t="inlineStr">
        <is>
          <t>购物车结算</t>
        </is>
      </c>
      <c r="E29" s="4" t="inlineStr">
        <is>
          <t>选中商品总价合计</t>
        </is>
      </c>
      <c r="F29" s="12" t="inlineStr">
        <is>
          <t>前端开发</t>
        </is>
      </c>
      <c r="G29" s="20" t="n">
        <v>0.4</v>
      </c>
      <c r="H29" s="14">
        <f>VLOOKUP(F29,'2.C端模块'!$E$76:$F$79,2,FALSE)</f>
        <v/>
      </c>
      <c r="I29" s="14">
        <f>G29*H29</f>
        <v/>
      </c>
    </row>
    <row r="30" ht="18" customHeight="1">
      <c r="A30" s="12" t="inlineStr">
        <is>
          <t>C5</t>
        </is>
      </c>
      <c r="B30" s="12" t="n">
        <v>3</v>
      </c>
      <c r="C30" s="19" t="inlineStr">
        <is>
          <t>C. 购物车</t>
        </is>
      </c>
      <c r="D30" s="4" t="inlineStr">
        <is>
          <t>购物车结算</t>
        </is>
      </c>
      <c r="E30" s="4" t="inlineStr">
        <is>
          <t>结算栏置底固定</t>
        </is>
      </c>
      <c r="F30" s="12" t="inlineStr">
        <is>
          <t>前端开发</t>
        </is>
      </c>
      <c r="G30" s="20" t="n">
        <v>0.4</v>
      </c>
      <c r="H30" s="14">
        <f>VLOOKUP(F30,'2.C端模块'!$E$76:$F$79,2,FALSE)</f>
        <v/>
      </c>
      <c r="I30" s="14">
        <f>G30*H30</f>
        <v/>
      </c>
    </row>
    <row r="31" ht="18" customHeight="1">
      <c r="A31" s="12" t="inlineStr">
        <is>
          <t>C6</t>
        </is>
      </c>
      <c r="B31" s="12" t="n">
        <v>3</v>
      </c>
      <c r="C31" s="19" t="inlineStr">
        <is>
          <t>C. 购物车</t>
        </is>
      </c>
      <c r="D31" s="4" t="inlineStr">
        <is>
          <t>购物车结算</t>
        </is>
      </c>
      <c r="E31" s="4" t="inlineStr">
        <is>
          <t>去结算跳转订单确认</t>
        </is>
      </c>
      <c r="F31" s="12" t="inlineStr">
        <is>
          <t>前端开发</t>
        </is>
      </c>
      <c r="G31" s="20" t="n">
        <v>0.7</v>
      </c>
      <c r="H31" s="14">
        <f>VLOOKUP(F31,'2.C端模块'!$E$76:$F$79,2,FALSE)</f>
        <v/>
      </c>
      <c r="I31" s="14">
        <f>G31*H31</f>
        <v/>
      </c>
    </row>
    <row r="32" ht="18" customHeight="1">
      <c r="A32" s="12" t="inlineStr">
        <is>
          <t>D1</t>
        </is>
      </c>
      <c r="B32" s="12" t="n">
        <v>3</v>
      </c>
      <c r="C32" s="19" t="inlineStr">
        <is>
          <t>D. 订单</t>
        </is>
      </c>
      <c r="D32" s="4" t="inlineStr">
        <is>
          <t>订单确认</t>
        </is>
      </c>
      <c r="E32" s="4" t="inlineStr">
        <is>
          <t>默认/选择收货地址</t>
        </is>
      </c>
      <c r="F32" s="12" t="inlineStr">
        <is>
          <t>前端开发</t>
        </is>
      </c>
      <c r="G32" s="20" t="n">
        <v>0.5</v>
      </c>
      <c r="H32" s="14">
        <f>VLOOKUP(F32,'2.C端模块'!$E$76:$F$79,2,FALSE)</f>
        <v/>
      </c>
      <c r="I32" s="14">
        <f>G32*H32</f>
        <v/>
      </c>
    </row>
    <row r="33" ht="18" customHeight="1">
      <c r="A33" s="12" t="inlineStr">
        <is>
          <t>D2</t>
        </is>
      </c>
      <c r="B33" s="12" t="n">
        <v>3</v>
      </c>
      <c r="C33" s="19" t="inlineStr">
        <is>
          <t>D. 订单</t>
        </is>
      </c>
      <c r="D33" s="4" t="inlineStr">
        <is>
          <t>订单确认</t>
        </is>
      </c>
      <c r="E33" s="4" t="inlineStr">
        <is>
          <t>商品清单与价格</t>
        </is>
      </c>
      <c r="F33" s="12" t="inlineStr">
        <is>
          <t>前端开发</t>
        </is>
      </c>
      <c r="G33" s="20" t="n">
        <v>0.4</v>
      </c>
      <c r="H33" s="14">
        <f>VLOOKUP(F33,'2.C端模块'!$E$76:$F$79,2,FALSE)</f>
        <v/>
      </c>
      <c r="I33" s="14">
        <f>G33*H33</f>
        <v/>
      </c>
    </row>
    <row r="34" ht="18" customHeight="1">
      <c r="A34" s="12" t="inlineStr">
        <is>
          <t>D3</t>
        </is>
      </c>
      <c r="B34" s="12" t="n">
        <v>3</v>
      </c>
      <c r="C34" s="19" t="inlineStr">
        <is>
          <t>D. 订单</t>
        </is>
      </c>
      <c r="D34" s="4" t="inlineStr">
        <is>
          <t>订单确认</t>
        </is>
      </c>
      <c r="E34" s="4" t="inlineStr">
        <is>
          <t>配送方式 / 优惠券</t>
        </is>
      </c>
      <c r="F34" s="12" t="inlineStr">
        <is>
          <t>前端开发</t>
        </is>
      </c>
      <c r="G34" s="20" t="n">
        <v>0.5</v>
      </c>
      <c r="H34" s="14">
        <f>VLOOKUP(F34,'2.C端模块'!$E$76:$F$79,2,FALSE)</f>
        <v/>
      </c>
      <c r="I34" s="14">
        <f>G34*H34</f>
        <v/>
      </c>
    </row>
    <row r="35" ht="18" customHeight="1">
      <c r="A35" s="12" t="inlineStr">
        <is>
          <t>D4</t>
        </is>
      </c>
      <c r="B35" s="12" t="n">
        <v>3</v>
      </c>
      <c r="C35" s="19" t="inlineStr">
        <is>
          <t>D. 订单</t>
        </is>
      </c>
      <c r="D35" s="4" t="inlineStr">
        <is>
          <t>订单确认</t>
        </is>
      </c>
      <c r="E35" s="4" t="inlineStr">
        <is>
          <t>费用明细与提交订单</t>
        </is>
      </c>
      <c r="F35" s="12" t="inlineStr">
        <is>
          <t>前端开发</t>
        </is>
      </c>
      <c r="G35" s="20" t="n">
        <v>0.6</v>
      </c>
      <c r="H35" s="14">
        <f>VLOOKUP(F35,'2.C端模块'!$E$76:$F$79,2,FALSE)</f>
        <v/>
      </c>
      <c r="I35" s="14">
        <f>G35*H35</f>
        <v/>
      </c>
    </row>
    <row r="36" ht="18" customHeight="1">
      <c r="A36" s="12" t="inlineStr">
        <is>
          <t>D5</t>
        </is>
      </c>
      <c r="B36" s="12" t="n">
        <v>3</v>
      </c>
      <c r="C36" s="19" t="inlineStr">
        <is>
          <t>D. 订单</t>
        </is>
      </c>
      <c r="D36" s="4" t="inlineStr">
        <is>
          <t>支付页</t>
        </is>
      </c>
      <c r="E36" s="4" t="inlineStr">
        <is>
          <t>微信支付唤起</t>
        </is>
      </c>
      <c r="F36" s="12" t="inlineStr">
        <is>
          <t>前端开发</t>
        </is>
      </c>
      <c r="G36" s="20" t="n">
        <v>0.5</v>
      </c>
      <c r="H36" s="14">
        <f>VLOOKUP(F36,'2.C端模块'!$E$76:$F$79,2,FALSE)</f>
        <v/>
      </c>
      <c r="I36" s="14">
        <f>G36*H36</f>
        <v/>
      </c>
    </row>
    <row r="37" ht="18" customHeight="1">
      <c r="A37" s="12" t="inlineStr">
        <is>
          <t>D6</t>
        </is>
      </c>
      <c r="B37" s="12" t="n">
        <v>3</v>
      </c>
      <c r="C37" s="19" t="inlineStr">
        <is>
          <t>D. 订单</t>
        </is>
      </c>
      <c r="D37" s="4" t="inlineStr">
        <is>
          <t>支付页</t>
        </is>
      </c>
      <c r="E37" s="4" t="inlineStr">
        <is>
          <t>支付结果轮询</t>
        </is>
      </c>
      <c r="F37" s="12" t="inlineStr">
        <is>
          <t>前端开发</t>
        </is>
      </c>
      <c r="G37" s="20" t="n">
        <v>0.5</v>
      </c>
      <c r="H37" s="14">
        <f>VLOOKUP(F37,'2.C端模块'!$E$76:$F$79,2,FALSE)</f>
        <v/>
      </c>
      <c r="I37" s="14">
        <f>G37*H37</f>
        <v/>
      </c>
    </row>
    <row r="38" ht="18" customHeight="1">
      <c r="A38" s="12" t="inlineStr">
        <is>
          <t>D7</t>
        </is>
      </c>
      <c r="B38" s="12" t="n">
        <v>3</v>
      </c>
      <c r="C38" s="19" t="inlineStr">
        <is>
          <t>D. 订单</t>
        </is>
      </c>
      <c r="D38" s="4" t="inlineStr">
        <is>
          <t>支付页</t>
        </is>
      </c>
      <c r="E38" s="4" t="inlineStr">
        <is>
          <t>支付失败/取消处理</t>
        </is>
      </c>
      <c r="F38" s="12" t="inlineStr">
        <is>
          <t>前端开发</t>
        </is>
      </c>
      <c r="G38" s="20" t="n">
        <v>0.3</v>
      </c>
      <c r="H38" s="14">
        <f>VLOOKUP(F38,'2.C端模块'!$E$76:$F$79,2,FALSE)</f>
        <v/>
      </c>
      <c r="I38" s="14">
        <f>G38*H38</f>
        <v/>
      </c>
    </row>
    <row r="39" ht="18" customHeight="1">
      <c r="A39" s="12" t="inlineStr">
        <is>
          <t>D8</t>
        </is>
      </c>
      <c r="B39" s="12" t="n">
        <v>3</v>
      </c>
      <c r="C39" s="19" t="inlineStr">
        <is>
          <t>D. 订单</t>
        </is>
      </c>
      <c r="D39" s="4" t="inlineStr">
        <is>
          <t>订单列表</t>
        </is>
      </c>
      <c r="E39" s="4" t="inlineStr">
        <is>
          <t>状态 Tab 切换</t>
        </is>
      </c>
      <c r="F39" s="12" t="inlineStr">
        <is>
          <t>前端开发</t>
        </is>
      </c>
      <c r="G39" s="20" t="n">
        <v>0.4</v>
      </c>
      <c r="H39" s="14">
        <f>VLOOKUP(F39,'2.C端模块'!$E$76:$F$79,2,FALSE)</f>
        <v/>
      </c>
      <c r="I39" s="14">
        <f>G39*H39</f>
        <v/>
      </c>
    </row>
    <row r="40" ht="18" customHeight="1">
      <c r="A40" s="12" t="inlineStr">
        <is>
          <t>D9</t>
        </is>
      </c>
      <c r="B40" s="12" t="n">
        <v>3</v>
      </c>
      <c r="C40" s="19" t="inlineStr">
        <is>
          <t>D. 订单</t>
        </is>
      </c>
      <c r="D40" s="4" t="inlineStr">
        <is>
          <t>订单列表</t>
        </is>
      </c>
      <c r="E40" s="4" t="inlineStr">
        <is>
          <t>订单卡片信息</t>
        </is>
      </c>
      <c r="F40" s="12" t="inlineStr">
        <is>
          <t>前端开发</t>
        </is>
      </c>
      <c r="G40" s="20" t="n">
        <v>0.4</v>
      </c>
      <c r="H40" s="14">
        <f>VLOOKUP(F40,'2.C端模块'!$E$76:$F$79,2,FALSE)</f>
        <v/>
      </c>
      <c r="I40" s="14">
        <f>G40*H40</f>
        <v/>
      </c>
    </row>
    <row r="41" ht="18" customHeight="1">
      <c r="A41" s="12" t="inlineStr">
        <is>
          <t>D10</t>
        </is>
      </c>
      <c r="B41" s="12" t="n">
        <v>3</v>
      </c>
      <c r="C41" s="19" t="inlineStr">
        <is>
          <t>D. 订单</t>
        </is>
      </c>
      <c r="D41" s="4" t="inlineStr">
        <is>
          <t>订单列表</t>
        </is>
      </c>
      <c r="E41" s="4" t="inlineStr">
        <is>
          <t>订单操作（取消/付款/退款/确认收货）</t>
        </is>
      </c>
      <c r="F41" s="12" t="inlineStr">
        <is>
          <t>前端开发</t>
        </is>
      </c>
      <c r="G41" s="20" t="n">
        <v>0.6</v>
      </c>
      <c r="H41" s="14">
        <f>VLOOKUP(F41,'2.C端模块'!$E$76:$F$79,2,FALSE)</f>
        <v/>
      </c>
      <c r="I41" s="14">
        <f>G41*H41</f>
        <v/>
      </c>
    </row>
    <row r="42" ht="18" customHeight="1">
      <c r="A42" s="12" t="inlineStr">
        <is>
          <t>D11</t>
        </is>
      </c>
      <c r="B42" s="12" t="n">
        <v>3</v>
      </c>
      <c r="C42" s="19" t="inlineStr">
        <is>
          <t>D. 订单</t>
        </is>
      </c>
      <c r="D42" s="4" t="inlineStr">
        <is>
          <t>订单详情</t>
        </is>
      </c>
      <c r="E42" s="4" t="inlineStr">
        <is>
          <t>状态流转时间线</t>
        </is>
      </c>
      <c r="F42" s="12" t="inlineStr">
        <is>
          <t>前端开发</t>
        </is>
      </c>
      <c r="G42" s="20" t="n">
        <v>0.4</v>
      </c>
      <c r="H42" s="14">
        <f>VLOOKUP(F42,'2.C端模块'!$E$76:$F$79,2,FALSE)</f>
        <v/>
      </c>
      <c r="I42" s="14">
        <f>G42*H42</f>
        <v/>
      </c>
    </row>
    <row r="43" ht="18" customHeight="1">
      <c r="A43" s="12" t="inlineStr">
        <is>
          <t>D12</t>
        </is>
      </c>
      <c r="B43" s="12" t="n">
        <v>3</v>
      </c>
      <c r="C43" s="19" t="inlineStr">
        <is>
          <t>D. 订单</t>
        </is>
      </c>
      <c r="D43" s="4" t="inlineStr">
        <is>
          <t>订单详情</t>
        </is>
      </c>
      <c r="E43" s="4" t="inlineStr">
        <is>
          <t>物流轨迹</t>
        </is>
      </c>
      <c r="F43" s="12" t="inlineStr">
        <is>
          <t>前端开发</t>
        </is>
      </c>
      <c r="G43" s="20" t="n">
        <v>0.4</v>
      </c>
      <c r="H43" s="14">
        <f>VLOOKUP(F43,'2.C端模块'!$E$76:$F$79,2,FALSE)</f>
        <v/>
      </c>
      <c r="I43" s="14">
        <f>G43*H43</f>
        <v/>
      </c>
    </row>
    <row r="44" ht="18" customHeight="1">
      <c r="A44" s="12" t="inlineStr">
        <is>
          <t>D13</t>
        </is>
      </c>
      <c r="B44" s="12" t="n">
        <v>3</v>
      </c>
      <c r="C44" s="19" t="inlineStr">
        <is>
          <t>D. 订单</t>
        </is>
      </c>
      <c r="D44" s="4" t="inlineStr">
        <is>
          <t>订单详情</t>
        </is>
      </c>
      <c r="E44" s="4" t="inlineStr">
        <is>
          <t>售后入口</t>
        </is>
      </c>
      <c r="F44" s="12" t="inlineStr">
        <is>
          <t>前端开发</t>
        </is>
      </c>
      <c r="G44" s="20" t="n">
        <v>0.3</v>
      </c>
      <c r="H44" s="14">
        <f>VLOOKUP(F44,'2.C端模块'!$E$76:$F$79,2,FALSE)</f>
        <v/>
      </c>
      <c r="I44" s="14">
        <f>G44*H44</f>
        <v/>
      </c>
    </row>
    <row r="45" ht="18" customHeight="1">
      <c r="A45" s="12" t="inlineStr">
        <is>
          <t>D14</t>
        </is>
      </c>
      <c r="B45" s="12" t="n">
        <v>3</v>
      </c>
      <c r="C45" s="19" t="inlineStr">
        <is>
          <t>D. 订单</t>
        </is>
      </c>
      <c r="D45" s="4" t="inlineStr">
        <is>
          <t>退款申请</t>
        </is>
      </c>
      <c r="E45" s="4" t="inlineStr">
        <is>
          <t>退款原因选择</t>
        </is>
      </c>
      <c r="F45" s="12" t="inlineStr">
        <is>
          <t>前端开发</t>
        </is>
      </c>
      <c r="G45" s="20" t="n">
        <v>0.4</v>
      </c>
      <c r="H45" s="14">
        <f>VLOOKUP(F45,'2.C端模块'!$E$76:$F$79,2,FALSE)</f>
        <v/>
      </c>
      <c r="I45" s="14">
        <f>G45*H45</f>
        <v/>
      </c>
    </row>
    <row r="46" ht="18" customHeight="1">
      <c r="A46" s="12" t="inlineStr">
        <is>
          <t>D15</t>
        </is>
      </c>
      <c r="B46" s="12" t="n">
        <v>3</v>
      </c>
      <c r="C46" s="19" t="inlineStr">
        <is>
          <t>D. 订单</t>
        </is>
      </c>
      <c r="D46" s="4" t="inlineStr">
        <is>
          <t>退款申请</t>
        </is>
      </c>
      <c r="E46" s="4" t="inlineStr">
        <is>
          <t>退款金额与凭证上传</t>
        </is>
      </c>
      <c r="F46" s="12" t="inlineStr">
        <is>
          <t>前端开发</t>
        </is>
      </c>
      <c r="G46" s="20" t="n">
        <v>0.5</v>
      </c>
      <c r="H46" s="14">
        <f>VLOOKUP(F46,'2.C端模块'!$E$76:$F$79,2,FALSE)</f>
        <v/>
      </c>
      <c r="I46" s="14">
        <f>G46*H46</f>
        <v/>
      </c>
    </row>
    <row r="47" ht="18" customHeight="1">
      <c r="A47" s="12" t="inlineStr">
        <is>
          <t>D16</t>
        </is>
      </c>
      <c r="B47" s="12" t="n">
        <v>3</v>
      </c>
      <c r="C47" s="19" t="inlineStr">
        <is>
          <t>D. 订单</t>
        </is>
      </c>
      <c r="D47" s="4" t="inlineStr">
        <is>
          <t>退款申请</t>
        </is>
      </c>
      <c r="E47" s="4" t="inlineStr">
        <is>
          <t>退款进度查询</t>
        </is>
      </c>
      <c r="F47" s="12" t="inlineStr">
        <is>
          <t>前端开发</t>
        </is>
      </c>
      <c r="G47" s="20" t="n">
        <v>0.4</v>
      </c>
      <c r="H47" s="14">
        <f>VLOOKUP(F47,'2.C端模块'!$E$76:$F$79,2,FALSE)</f>
        <v/>
      </c>
      <c r="I47" s="14">
        <f>G47*H47</f>
        <v/>
      </c>
    </row>
    <row r="48" ht="18" customHeight="1">
      <c r="A48" s="12" t="inlineStr">
        <is>
          <t>D17</t>
        </is>
      </c>
      <c r="B48" s="12" t="n">
        <v>3</v>
      </c>
      <c r="C48" s="19" t="inlineStr">
        <is>
          <t>D. 订单</t>
        </is>
      </c>
      <c r="D48" s="4" t="inlineStr">
        <is>
          <t>退款申请</t>
        </is>
      </c>
      <c r="E48" s="4" t="inlineStr">
        <is>
          <t>退款状态机 UI</t>
        </is>
      </c>
      <c r="F48" s="12" t="inlineStr">
        <is>
          <t>前端开发</t>
        </is>
      </c>
      <c r="G48" s="20" t="n">
        <v>0.4</v>
      </c>
      <c r="H48" s="14">
        <f>VLOOKUP(F48,'2.C端模块'!$E$76:$F$79,2,FALSE)</f>
        <v/>
      </c>
      <c r="I48" s="14">
        <f>G48*H48</f>
        <v/>
      </c>
    </row>
    <row r="49" ht="18" customHeight="1">
      <c r="A49" s="12" t="inlineStr">
        <is>
          <t>E1</t>
        </is>
      </c>
      <c r="B49" s="12" t="n">
        <v>3</v>
      </c>
      <c r="C49" s="19" t="inlineStr">
        <is>
          <t>E. 用户</t>
        </is>
      </c>
      <c r="D49" s="4" t="inlineStr">
        <is>
          <t>登录/注册</t>
        </is>
      </c>
      <c r="E49" s="4" t="inlineStr">
        <is>
          <t>微信一键登录</t>
        </is>
      </c>
      <c r="F49" s="12" t="inlineStr">
        <is>
          <t>前端开发</t>
        </is>
      </c>
      <c r="G49" s="20" t="n">
        <v>0.8</v>
      </c>
      <c r="H49" s="14">
        <f>VLOOKUP(F49,'2.C端模块'!$E$76:$F$79,2,FALSE)</f>
        <v/>
      </c>
      <c r="I49" s="14">
        <f>G49*H49</f>
        <v/>
      </c>
    </row>
    <row r="50" ht="18" customHeight="1">
      <c r="A50" s="12" t="inlineStr">
        <is>
          <t>E2</t>
        </is>
      </c>
      <c r="B50" s="12" t="n">
        <v>3</v>
      </c>
      <c r="C50" s="19" t="inlineStr">
        <is>
          <t>E. 用户</t>
        </is>
      </c>
      <c r="D50" s="4" t="inlineStr">
        <is>
          <t>登录/注册</t>
        </is>
      </c>
      <c r="E50" s="4" t="inlineStr">
        <is>
          <t>手机号验证码登录</t>
        </is>
      </c>
      <c r="F50" s="12" t="inlineStr">
        <is>
          <t>前端开发</t>
        </is>
      </c>
      <c r="G50" s="20" t="n">
        <v>0.7</v>
      </c>
      <c r="H50" s="14">
        <f>VLOOKUP(F50,'2.C端模块'!$E$76:$F$79,2,FALSE)</f>
        <v/>
      </c>
      <c r="I50" s="14">
        <f>G50*H50</f>
        <v/>
      </c>
    </row>
    <row r="51" ht="18" customHeight="1">
      <c r="A51" s="12" t="inlineStr">
        <is>
          <t>E3</t>
        </is>
      </c>
      <c r="B51" s="12" t="n">
        <v>3</v>
      </c>
      <c r="C51" s="19" t="inlineStr">
        <is>
          <t>E. 用户</t>
        </is>
      </c>
      <c r="D51" s="4" t="inlineStr">
        <is>
          <t>登录/注册</t>
        </is>
      </c>
      <c r="E51" s="4" t="inlineStr">
        <is>
          <t>Token 持久化与刷新</t>
        </is>
      </c>
      <c r="F51" s="12" t="inlineStr">
        <is>
          <t>前端开发</t>
        </is>
      </c>
      <c r="G51" s="20" t="n">
        <v>0.5</v>
      </c>
      <c r="H51" s="14">
        <f>VLOOKUP(F51,'2.C端模块'!$E$76:$F$79,2,FALSE)</f>
        <v/>
      </c>
      <c r="I51" s="14">
        <f>G51*H51</f>
        <v/>
      </c>
    </row>
    <row r="52" ht="18" customHeight="1">
      <c r="A52" s="12" t="inlineStr">
        <is>
          <t>E4</t>
        </is>
      </c>
      <c r="B52" s="12" t="n">
        <v>3</v>
      </c>
      <c r="C52" s="19" t="inlineStr">
        <is>
          <t>E. 用户</t>
        </is>
      </c>
      <c r="D52" s="4" t="inlineStr">
        <is>
          <t>个人中心</t>
        </is>
      </c>
      <c r="E52" s="4" t="inlineStr">
        <is>
          <t>用户信息卡片</t>
        </is>
      </c>
      <c r="F52" s="12" t="inlineStr">
        <is>
          <t>前端开发</t>
        </is>
      </c>
      <c r="G52" s="20" t="n">
        <v>0.5</v>
      </c>
      <c r="H52" s="14">
        <f>VLOOKUP(F52,'2.C端模块'!$E$76:$F$79,2,FALSE)</f>
        <v/>
      </c>
      <c r="I52" s="14">
        <f>G52*H52</f>
        <v/>
      </c>
    </row>
    <row r="53" ht="18" customHeight="1">
      <c r="A53" s="12" t="inlineStr">
        <is>
          <t>E5</t>
        </is>
      </c>
      <c r="B53" s="12" t="n">
        <v>3</v>
      </c>
      <c r="C53" s="19" t="inlineStr">
        <is>
          <t>E. 用户</t>
        </is>
      </c>
      <c r="D53" s="4" t="inlineStr">
        <is>
          <t>个人中心</t>
        </is>
      </c>
      <c r="E53" s="4" t="inlineStr">
        <is>
          <t>订单/收藏/优惠券入口</t>
        </is>
      </c>
      <c r="F53" s="12" t="inlineStr">
        <is>
          <t>前端开发</t>
        </is>
      </c>
      <c r="G53" s="20" t="n">
        <v>0.5</v>
      </c>
      <c r="H53" s="14">
        <f>VLOOKUP(F53,'2.C端模块'!$E$76:$F$79,2,FALSE)</f>
        <v/>
      </c>
      <c r="I53" s="14">
        <f>G53*H53</f>
        <v/>
      </c>
    </row>
    <row r="54" ht="18" customHeight="1">
      <c r="A54" s="12" t="inlineStr">
        <is>
          <t>E6</t>
        </is>
      </c>
      <c r="B54" s="12" t="n">
        <v>3</v>
      </c>
      <c r="C54" s="19" t="inlineStr">
        <is>
          <t>E. 用户</t>
        </is>
      </c>
      <c r="D54" s="4" t="inlineStr">
        <is>
          <t>个人中心</t>
        </is>
      </c>
      <c r="E54" s="4" t="inlineStr">
        <is>
          <t>设置与退出登录</t>
        </is>
      </c>
      <c r="F54" s="12" t="inlineStr">
        <is>
          <t>前端开发</t>
        </is>
      </c>
      <c r="G54" s="20" t="n">
        <v>0.3</v>
      </c>
      <c r="H54" s="14">
        <f>VLOOKUP(F54,'2.C端模块'!$E$76:$F$79,2,FALSE)</f>
        <v/>
      </c>
      <c r="I54" s="14">
        <f>G54*H54</f>
        <v/>
      </c>
    </row>
    <row r="55" ht="18" customHeight="1">
      <c r="A55" s="12" t="inlineStr">
        <is>
          <t>E7</t>
        </is>
      </c>
      <c r="B55" s="12" t="n">
        <v>3</v>
      </c>
      <c r="C55" s="19" t="inlineStr">
        <is>
          <t>E. 用户</t>
        </is>
      </c>
      <c r="D55" s="4" t="inlineStr">
        <is>
          <t>收货地址</t>
        </is>
      </c>
      <c r="E55" s="4" t="inlineStr">
        <is>
          <t>地址列表</t>
        </is>
      </c>
      <c r="F55" s="12" t="inlineStr">
        <is>
          <t>前端开发</t>
        </is>
      </c>
      <c r="G55" s="20" t="n">
        <v>0.4</v>
      </c>
      <c r="H55" s="14">
        <f>VLOOKUP(F55,'2.C端模块'!$E$76:$F$79,2,FALSE)</f>
        <v/>
      </c>
      <c r="I55" s="14">
        <f>G55*H55</f>
        <v/>
      </c>
    </row>
    <row r="56" ht="18" customHeight="1">
      <c r="A56" s="12" t="inlineStr">
        <is>
          <t>E8</t>
        </is>
      </c>
      <c r="B56" s="12" t="n">
        <v>3</v>
      </c>
      <c r="C56" s="19" t="inlineStr">
        <is>
          <t>E. 用户</t>
        </is>
      </c>
      <c r="D56" s="4" t="inlineStr">
        <is>
          <t>收货地址</t>
        </is>
      </c>
      <c r="E56" s="4" t="inlineStr">
        <is>
          <t>新增 / 编辑地址</t>
        </is>
      </c>
      <c r="F56" s="12" t="inlineStr">
        <is>
          <t>前端开发</t>
        </is>
      </c>
      <c r="G56" s="20" t="n">
        <v>0.6</v>
      </c>
      <c r="H56" s="14">
        <f>VLOOKUP(F56,'2.C端模块'!$E$76:$F$79,2,FALSE)</f>
        <v/>
      </c>
      <c r="I56" s="14">
        <f>G56*H56</f>
        <v/>
      </c>
    </row>
    <row r="57" ht="18" customHeight="1">
      <c r="A57" s="12" t="inlineStr">
        <is>
          <t>E9</t>
        </is>
      </c>
      <c r="B57" s="12" t="n">
        <v>3</v>
      </c>
      <c r="C57" s="19" t="inlineStr">
        <is>
          <t>E. 用户</t>
        </is>
      </c>
      <c r="D57" s="4" t="inlineStr">
        <is>
          <t>收货地址</t>
        </is>
      </c>
      <c r="E57" s="4" t="inlineStr">
        <is>
          <t>默认地址设置</t>
        </is>
      </c>
      <c r="F57" s="12" t="inlineStr">
        <is>
          <t>前端开发</t>
        </is>
      </c>
      <c r="G57" s="20" t="n">
        <v>0.3</v>
      </c>
      <c r="H57" s="14">
        <f>VLOOKUP(F57,'2.C端模块'!$E$76:$F$79,2,FALSE)</f>
        <v/>
      </c>
      <c r="I57" s="14">
        <f>G57*H57</f>
        <v/>
      </c>
    </row>
    <row r="58" ht="18" customHeight="1">
      <c r="A58" s="12" t="inlineStr">
        <is>
          <t>E10</t>
        </is>
      </c>
      <c r="B58" s="12" t="n">
        <v>3</v>
      </c>
      <c r="C58" s="19" t="inlineStr">
        <is>
          <t>E. 用户</t>
        </is>
      </c>
      <c r="D58" s="4" t="inlineStr">
        <is>
          <t>收货地址</t>
        </is>
      </c>
      <c r="E58" s="4" t="inlineStr">
        <is>
          <t>省市区地址选择器</t>
        </is>
      </c>
      <c r="F58" s="12" t="inlineStr">
        <is>
          <t>前端开发</t>
        </is>
      </c>
      <c r="G58" s="20" t="n">
        <v>0.7</v>
      </c>
      <c r="H58" s="14">
        <f>VLOOKUP(F58,'2.C端模块'!$E$76:$F$79,2,FALSE)</f>
        <v/>
      </c>
      <c r="I58" s="14">
        <f>G58*H58</f>
        <v/>
      </c>
    </row>
    <row r="59" ht="18" customHeight="1">
      <c r="A59" s="12" t="inlineStr">
        <is>
          <t>E11</t>
        </is>
      </c>
      <c r="B59" s="12" t="n">
        <v>3</v>
      </c>
      <c r="C59" s="19" t="inlineStr">
        <is>
          <t>E. 用户</t>
        </is>
      </c>
      <c r="D59" s="4" t="inlineStr">
        <is>
          <t>收货地址</t>
        </is>
      </c>
      <c r="E59" s="4" t="inlineStr">
        <is>
          <t>地址簿导入与校验</t>
        </is>
      </c>
      <c r="F59" s="12" t="inlineStr">
        <is>
          <t>前端开发</t>
        </is>
      </c>
      <c r="G59" s="20" t="n">
        <v>0.4</v>
      </c>
      <c r="H59" s="14">
        <f>VLOOKUP(F59,'2.C端模块'!$E$76:$F$79,2,FALSE)</f>
        <v/>
      </c>
      <c r="I59" s="14">
        <f>G59*H59</f>
        <v/>
      </c>
    </row>
    <row r="60" ht="18" customHeight="1">
      <c r="A60" s="12" t="inlineStr">
        <is>
          <t>F1</t>
        </is>
      </c>
      <c r="B60" s="12" t="n">
        <v>3</v>
      </c>
      <c r="C60" s="19" t="inlineStr">
        <is>
          <t>F. 公共能力</t>
        </is>
      </c>
      <c r="D60" s="4" t="inlineStr">
        <is>
          <t>网络请求</t>
        </is>
      </c>
      <c r="E60" s="4" t="inlineStr">
        <is>
          <t>Axios / uni.request 封装</t>
        </is>
      </c>
      <c r="F60" s="12" t="inlineStr">
        <is>
          <t>前端开发</t>
        </is>
      </c>
      <c r="G60" s="20" t="n">
        <v>1</v>
      </c>
      <c r="H60" s="14">
        <f>VLOOKUP(F60,'2.C端模块'!$E$76:$F$79,2,FALSE)</f>
        <v/>
      </c>
      <c r="I60" s="14">
        <f>G60*H60</f>
        <v/>
      </c>
    </row>
    <row r="61" ht="18" customHeight="1">
      <c r="A61" s="12" t="inlineStr">
        <is>
          <t>F2</t>
        </is>
      </c>
      <c r="B61" s="12" t="n">
        <v>3</v>
      </c>
      <c r="C61" s="19" t="inlineStr">
        <is>
          <t>F. 公共能力</t>
        </is>
      </c>
      <c r="D61" s="4" t="inlineStr">
        <is>
          <t>网络请求</t>
        </is>
      </c>
      <c r="E61" s="4" t="inlineStr">
        <is>
          <t>请求 / 响应拦截器</t>
        </is>
      </c>
      <c r="F61" s="12" t="inlineStr">
        <is>
          <t>前端开发</t>
        </is>
      </c>
      <c r="G61" s="20" t="n">
        <v>0.8</v>
      </c>
      <c r="H61" s="14">
        <f>VLOOKUP(F61,'2.C端模块'!$E$76:$F$79,2,FALSE)</f>
        <v/>
      </c>
      <c r="I61" s="14">
        <f>G61*H61</f>
        <v/>
      </c>
    </row>
    <row r="62" ht="18" customHeight="1">
      <c r="A62" s="12" t="inlineStr">
        <is>
          <t>F3</t>
        </is>
      </c>
      <c r="B62" s="12" t="n">
        <v>3</v>
      </c>
      <c r="C62" s="19" t="inlineStr">
        <is>
          <t>F. 公共能力</t>
        </is>
      </c>
      <c r="D62" s="4" t="inlineStr">
        <is>
          <t>网络请求</t>
        </is>
      </c>
      <c r="E62" s="4" t="inlineStr">
        <is>
          <t>业务模块 API 拆分（user/product/order/cart/pay/refund 等）</t>
        </is>
      </c>
      <c r="F62" s="12" t="inlineStr">
        <is>
          <t>前端开发</t>
        </is>
      </c>
      <c r="G62" s="20" t="n">
        <v>1.2</v>
      </c>
      <c r="H62" s="14">
        <f>VLOOKUP(F62,'2.C端模块'!$E$76:$F$79,2,FALSE)</f>
        <v/>
      </c>
      <c r="I62" s="14">
        <f>G62*H62</f>
        <v/>
      </c>
    </row>
    <row r="63" ht="18" customHeight="1">
      <c r="A63" s="12" t="inlineStr">
        <is>
          <t>F4</t>
        </is>
      </c>
      <c r="B63" s="12" t="n">
        <v>3</v>
      </c>
      <c r="C63" s="19" t="inlineStr">
        <is>
          <t>F. 公共能力</t>
        </is>
      </c>
      <c r="D63" s="4" t="inlineStr">
        <is>
          <t>状态管理</t>
        </is>
      </c>
      <c r="E63" s="4" t="inlineStr">
        <is>
          <t>Pinia Store 搭建</t>
        </is>
      </c>
      <c r="F63" s="12" t="inlineStr">
        <is>
          <t>前端开发</t>
        </is>
      </c>
      <c r="G63" s="20" t="n">
        <v>0.8</v>
      </c>
      <c r="H63" s="14">
        <f>VLOOKUP(F63,'2.C端模块'!$E$76:$F$79,2,FALSE)</f>
        <v/>
      </c>
      <c r="I63" s="14">
        <f>G63*H63</f>
        <v/>
      </c>
    </row>
    <row r="64" ht="18" customHeight="1">
      <c r="A64" s="12" t="inlineStr">
        <is>
          <t>F5</t>
        </is>
      </c>
      <c r="B64" s="12" t="n">
        <v>3</v>
      </c>
      <c r="C64" s="19" t="inlineStr">
        <is>
          <t>F. 公共能力</t>
        </is>
      </c>
      <c r="D64" s="4" t="inlineStr">
        <is>
          <t>状态管理</t>
        </is>
      </c>
      <c r="E64" s="4" t="inlineStr">
        <is>
          <t>用户 / 购物车 / 系统 Store</t>
        </is>
      </c>
      <c r="F64" s="12" t="inlineStr">
        <is>
          <t>前端开发</t>
        </is>
      </c>
      <c r="G64" s="20" t="n">
        <v>1.5</v>
      </c>
      <c r="H64" s="14">
        <f>VLOOKUP(F64,'2.C端模块'!$E$76:$F$79,2,FALSE)</f>
        <v/>
      </c>
      <c r="I64" s="14">
        <f>G64*H64</f>
        <v/>
      </c>
    </row>
    <row r="65" ht="18" customHeight="1">
      <c r="A65" s="12" t="inlineStr">
        <is>
          <t>F6</t>
        </is>
      </c>
      <c r="B65" s="12" t="n">
        <v>3</v>
      </c>
      <c r="C65" s="19" t="inlineStr">
        <is>
          <t>F. 公共能力</t>
        </is>
      </c>
      <c r="D65" s="4" t="inlineStr">
        <is>
          <t>状态管理</t>
        </is>
      </c>
      <c r="E65" s="4" t="inlineStr">
        <is>
          <t>数据持久化</t>
        </is>
      </c>
      <c r="F65" s="12" t="inlineStr">
        <is>
          <t>前端开发</t>
        </is>
      </c>
      <c r="G65" s="20" t="n">
        <v>0.5</v>
      </c>
      <c r="H65" s="14">
        <f>VLOOKUP(F65,'2.C端模块'!$E$76:$F$79,2,FALSE)</f>
        <v/>
      </c>
      <c r="I65" s="14">
        <f>G65*H65</f>
        <v/>
      </c>
    </row>
    <row r="66" ht="18" customHeight="1">
      <c r="A66" s="12" t="inlineStr">
        <is>
          <t>F7</t>
        </is>
      </c>
      <c r="B66" s="12" t="n">
        <v>3</v>
      </c>
      <c r="C66" s="19" t="inlineStr">
        <is>
          <t>F. 公共能力</t>
        </is>
      </c>
      <c r="D66" s="4" t="inlineStr">
        <is>
          <t>UI 组件</t>
        </is>
      </c>
      <c r="E66" s="4" t="inlineStr">
        <is>
          <t>弹窗 / Toast / Loading</t>
        </is>
      </c>
      <c r="F66" s="12" t="inlineStr">
        <is>
          <t>前端开发</t>
        </is>
      </c>
      <c r="G66" s="20" t="n">
        <v>1.2</v>
      </c>
      <c r="H66" s="14">
        <f>VLOOKUP(F66,'2.C端模块'!$E$76:$F$79,2,FALSE)</f>
        <v/>
      </c>
      <c r="I66" s="14">
        <f>G66*H66</f>
        <v/>
      </c>
    </row>
    <row r="67" ht="18" customHeight="1">
      <c r="A67" s="12" t="inlineStr">
        <is>
          <t>F8</t>
        </is>
      </c>
      <c r="B67" s="12" t="n">
        <v>3</v>
      </c>
      <c r="C67" s="19" t="inlineStr">
        <is>
          <t>F. 公共能力</t>
        </is>
      </c>
      <c r="D67" s="4" t="inlineStr">
        <is>
          <t>UI 组件</t>
        </is>
      </c>
      <c r="E67" s="4" t="inlineStr">
        <is>
          <t>业务组件（Empty/Error/Price/Countdown）</t>
        </is>
      </c>
      <c r="F67" s="12" t="inlineStr">
        <is>
          <t>前端开发</t>
        </is>
      </c>
      <c r="G67" s="20" t="n">
        <v>1.5</v>
      </c>
      <c r="H67" s="14">
        <f>VLOOKUP(F67,'2.C端模块'!$E$76:$F$79,2,FALSE)</f>
        <v/>
      </c>
      <c r="I67" s="14">
        <f>G67*H67</f>
        <v/>
      </c>
    </row>
    <row r="68" ht="18" customHeight="1">
      <c r="A68" s="12" t="inlineStr">
        <is>
          <t>F9</t>
        </is>
      </c>
      <c r="B68" s="12" t="n">
        <v>3</v>
      </c>
      <c r="C68" s="19" t="inlineStr">
        <is>
          <t>F. 公共能力</t>
        </is>
      </c>
      <c r="D68" s="4" t="inlineStr">
        <is>
          <t>UI 组件</t>
        </is>
      </c>
      <c r="E68" s="4" t="inlineStr">
        <is>
          <t>主题与配色（奶油玫瑰粉）</t>
        </is>
      </c>
      <c r="F68" s="12" t="inlineStr">
        <is>
          <t>UI 设计师</t>
        </is>
      </c>
      <c r="G68" s="20" t="n">
        <v>0.5</v>
      </c>
      <c r="H68" s="14">
        <f>VLOOKUP(F68,'2.C端模块'!$E$76:$F$79,2,FALSE)</f>
        <v/>
      </c>
      <c r="I68" s="14">
        <f>G68*H68</f>
        <v/>
      </c>
    </row>
    <row r="69" ht="18" customHeight="1">
      <c r="A69" s="12" t="inlineStr">
        <is>
          <t>F10</t>
        </is>
      </c>
      <c r="B69" s="12" t="n">
        <v>3</v>
      </c>
      <c r="C69" s="19" t="inlineStr">
        <is>
          <t>F. 公共能力</t>
        </is>
      </c>
      <c r="D69" s="4" t="inlineStr">
        <is>
          <t>公共 Shell</t>
        </is>
      </c>
      <c r="E69" s="4" t="inlineStr">
        <is>
          <t>路由配置</t>
        </is>
      </c>
      <c r="F69" s="12" t="inlineStr">
        <is>
          <t>前端开发</t>
        </is>
      </c>
      <c r="G69" s="20" t="n">
        <v>0.4</v>
      </c>
      <c r="H69" s="14">
        <f>VLOOKUP(F69,'2.C端模块'!$E$76:$F$79,2,FALSE)</f>
        <v/>
      </c>
      <c r="I69" s="14">
        <f>G69*H69</f>
        <v/>
      </c>
    </row>
    <row r="70" ht="18" customHeight="1">
      <c r="A70" s="12" t="inlineStr">
        <is>
          <t>F11</t>
        </is>
      </c>
      <c r="B70" s="12" t="n">
        <v>3</v>
      </c>
      <c r="C70" s="19" t="inlineStr">
        <is>
          <t>F. 公共能力</t>
        </is>
      </c>
      <c r="D70" s="4" t="inlineStr">
        <is>
          <t>公共 Shell</t>
        </is>
      </c>
      <c r="E70" s="4" t="inlineStr">
        <is>
          <t>登录守卫与权限拦截</t>
        </is>
      </c>
      <c r="F70" s="12" t="inlineStr">
        <is>
          <t>前端开发</t>
        </is>
      </c>
      <c r="G70" s="20" t="n">
        <v>0.3</v>
      </c>
      <c r="H70" s="14">
        <f>VLOOKUP(F70,'2.C端模块'!$E$76:$F$79,2,FALSE)</f>
        <v/>
      </c>
      <c r="I70" s="14">
        <f>G70*H70</f>
        <v/>
      </c>
    </row>
    <row r="71" ht="18" customHeight="1">
      <c r="A71" s="12" t="inlineStr">
        <is>
          <t>F12</t>
        </is>
      </c>
      <c r="B71" s="12" t="n">
        <v>3</v>
      </c>
      <c r="C71" s="19" t="inlineStr">
        <is>
          <t>F. 公共能力</t>
        </is>
      </c>
      <c r="D71" s="4" t="inlineStr">
        <is>
          <t>公共 Shell</t>
        </is>
      </c>
      <c r="E71" s="4" t="inlineStr">
        <is>
          <t>错误页 / 空状态 / 离线</t>
        </is>
      </c>
      <c r="F71" s="12" t="inlineStr">
        <is>
          <t>前端开发</t>
        </is>
      </c>
      <c r="G71" s="20" t="n">
        <v>0.3</v>
      </c>
      <c r="H71" s="14">
        <f>VLOOKUP(F71,'2.C端模块'!$E$76:$F$79,2,FALSE)</f>
        <v/>
      </c>
      <c r="I71" s="14">
        <f>G71*H71</f>
        <v/>
      </c>
    </row>
    <row r="72" ht="26" customHeight="1">
      <c r="A72" s="7" t="inlineStr">
        <is>
          <t>合计</t>
        </is>
      </c>
      <c r="B72" s="7" t="n"/>
      <c r="C72" s="7" t="n"/>
      <c r="D72" s="7" t="n"/>
      <c r="E72" s="7" t="n"/>
      <c r="F72" s="7" t="n"/>
      <c r="G72" s="8">
        <f>SUM(G4:G71)</f>
        <v/>
      </c>
      <c r="H72" s="9">
        <f>IFERROR(I72/G72,0)</f>
        <v/>
      </c>
      <c r="I72" s="9">
        <f>SUM(I4:I71)</f>
        <v/>
      </c>
    </row>
    <row r="74">
      <c r="E74" s="10" t="inlineStr">
        <is>
          <t>角色单价比照表</t>
        </is>
      </c>
    </row>
    <row r="75">
      <c r="E75" s="3" t="inlineStr">
        <is>
          <t>角色</t>
        </is>
      </c>
      <c r="F75" s="3" t="inlineStr">
        <is>
          <t>元/人天</t>
        </is>
      </c>
    </row>
    <row r="76">
      <c r="E76" s="21" t="inlineStr">
        <is>
          <t>前端开发</t>
        </is>
      </c>
      <c r="F76" s="11" t="n">
        <v>1300</v>
      </c>
    </row>
    <row r="77">
      <c r="E77" s="21" t="inlineStr">
        <is>
          <t>小程序开发</t>
        </is>
      </c>
      <c r="F77" s="11" t="n">
        <v>1300</v>
      </c>
    </row>
    <row r="78">
      <c r="E78" s="21" t="inlineStr">
        <is>
          <t>UI 设计师</t>
        </is>
      </c>
      <c r="F78" s="11" t="n">
        <v>1000</v>
      </c>
    </row>
    <row r="79">
      <c r="E79" s="21" t="inlineStr">
        <is>
          <t>测试工程师</t>
        </is>
      </c>
      <c r="F79" s="11" t="n">
        <v>900</v>
      </c>
    </row>
  </sheetData>
  <mergeCells count="3">
    <mergeCell ref="A1:I1"/>
    <mergeCell ref="A72:F72"/>
    <mergeCell ref="E74:F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8" customWidth="1" min="4" max="4"/>
    <col width="42" customWidth="1" min="5" max="5"/>
    <col width="14" customWidth="1" min="6" max="6"/>
    <col width="8" customWidth="1" min="7" max="7"/>
    <col width="14" customWidth="1" min="8" max="8"/>
    <col width="14" customWidth="1" min="9" max="9"/>
  </cols>
  <sheetData>
    <row r="1" ht="30" customHeight="1">
      <c r="A1" s="1" t="inlineStr">
        <is>
          <t>体彩衍生品商城 — 后台模块 3 级模块清单</t>
        </is>
      </c>
    </row>
    <row r="3" ht="28" customHeight="1">
      <c r="A3" s="3" t="inlineStr">
        <is>
          <t>编号</t>
        </is>
      </c>
      <c r="B3" s="3" t="inlineStr">
        <is>
          <t>层级</t>
        </is>
      </c>
      <c r="C3" s="3" t="inlineStr">
        <is>
          <t>一级模块</t>
        </is>
      </c>
      <c r="D3" s="3" t="inlineStr">
        <is>
          <t>二级模块</t>
        </is>
      </c>
      <c r="E3" s="3" t="inlineStr">
        <is>
          <t>三级模块</t>
        </is>
      </c>
      <c r="F3" s="3" t="inlineStr">
        <is>
          <t>角色</t>
        </is>
      </c>
      <c r="G3" s="3" t="inlineStr">
        <is>
          <t>人天</t>
        </is>
      </c>
      <c r="H3" s="3" t="inlineStr">
        <is>
          <t>单价（元/天）</t>
        </is>
      </c>
      <c r="I3" s="3" t="inlineStr">
        <is>
          <t>金额（元）</t>
        </is>
      </c>
    </row>
    <row r="4" ht="18" customHeight="1">
      <c r="A4" s="12" t="inlineStr">
        <is>
          <t>G1</t>
        </is>
      </c>
      <c r="B4" s="12" t="n">
        <v>3</v>
      </c>
      <c r="C4" s="19" t="inlineStr">
        <is>
          <t>G. 系统认证</t>
        </is>
      </c>
      <c r="D4" s="4" t="inlineStr">
        <is>
          <t>登录</t>
        </is>
      </c>
      <c r="E4" s="4" t="inlineStr">
        <is>
          <t>账号密码登录</t>
        </is>
      </c>
      <c r="F4" s="12" t="inlineStr">
        <is>
          <t>前端开发</t>
        </is>
      </c>
      <c r="G4" s="20" t="n">
        <v>0.6</v>
      </c>
      <c r="H4" s="14">
        <f>VLOOKUP(F4,'3.后台模块'!$E$75:$F$78,2,FALSE)</f>
        <v/>
      </c>
      <c r="I4" s="14">
        <f>G4*H4</f>
        <v/>
      </c>
    </row>
    <row r="5" ht="18" customHeight="1">
      <c r="A5" s="12" t="inlineStr">
        <is>
          <t>G2</t>
        </is>
      </c>
      <c r="B5" s="12" t="n">
        <v>3</v>
      </c>
      <c r="C5" s="19" t="inlineStr">
        <is>
          <t>G. 系统认证</t>
        </is>
      </c>
      <c r="D5" s="4" t="inlineStr">
        <is>
          <t>登录</t>
        </is>
      </c>
      <c r="E5" s="4" t="inlineStr">
        <is>
          <t>图形验证码</t>
        </is>
      </c>
      <c r="F5" s="12" t="inlineStr">
        <is>
          <t>前端开发</t>
        </is>
      </c>
      <c r="G5" s="20" t="n">
        <v>0.4</v>
      </c>
      <c r="H5" s="14">
        <f>VLOOKUP(F5,'3.后台模块'!$E$75:$F$78,2,FALSE)</f>
        <v/>
      </c>
      <c r="I5" s="14">
        <f>G5*H5</f>
        <v/>
      </c>
    </row>
    <row r="6" ht="18" customHeight="1">
      <c r="A6" s="12" t="inlineStr">
        <is>
          <t>G3</t>
        </is>
      </c>
      <c r="B6" s="12" t="n">
        <v>3</v>
      </c>
      <c r="C6" s="19" t="inlineStr">
        <is>
          <t>G. 系统认证</t>
        </is>
      </c>
      <c r="D6" s="4" t="inlineStr">
        <is>
          <t>登录</t>
        </is>
      </c>
      <c r="E6" s="4" t="inlineStr">
        <is>
          <t>记住登录 / 自动续签</t>
        </is>
      </c>
      <c r="F6" s="12" t="inlineStr">
        <is>
          <t>前端开发</t>
        </is>
      </c>
      <c r="G6" s="20" t="n">
        <v>0.3</v>
      </c>
      <c r="H6" s="14">
        <f>VLOOKUP(F6,'3.后台模块'!$E$75:$F$78,2,FALSE)</f>
        <v/>
      </c>
      <c r="I6" s="14">
        <f>G6*H6</f>
        <v/>
      </c>
    </row>
    <row r="7" ht="18" customHeight="1">
      <c r="A7" s="12" t="inlineStr">
        <is>
          <t>G4</t>
        </is>
      </c>
      <c r="B7" s="12" t="n">
        <v>3</v>
      </c>
      <c r="C7" s="19" t="inlineStr">
        <is>
          <t>G. 系统认证</t>
        </is>
      </c>
      <c r="D7" s="4" t="inlineStr">
        <is>
          <t>RBAC 权限</t>
        </is>
      </c>
      <c r="E7" s="4" t="inlineStr">
        <is>
          <t>角色与菜单管理</t>
        </is>
      </c>
      <c r="F7" s="12" t="inlineStr">
        <is>
          <t>前端开发</t>
        </is>
      </c>
      <c r="G7" s="20" t="n">
        <v>0.6</v>
      </c>
      <c r="H7" s="14">
        <f>VLOOKUP(F7,'3.后台模块'!$E$75:$F$78,2,FALSE)</f>
        <v/>
      </c>
      <c r="I7" s="14">
        <f>G7*H7</f>
        <v/>
      </c>
    </row>
    <row r="8" ht="18" customHeight="1">
      <c r="A8" s="12" t="inlineStr">
        <is>
          <t>G5</t>
        </is>
      </c>
      <c r="B8" s="12" t="n">
        <v>3</v>
      </c>
      <c r="C8" s="19" t="inlineStr">
        <is>
          <t>G. 系统认证</t>
        </is>
      </c>
      <c r="D8" s="4" t="inlineStr">
        <is>
          <t>RBAC 权限</t>
        </is>
      </c>
      <c r="E8" s="4" t="inlineStr">
        <is>
          <t>动态菜单渲染</t>
        </is>
      </c>
      <c r="F8" s="12" t="inlineStr">
        <is>
          <t>前端开发</t>
        </is>
      </c>
      <c r="G8" s="20" t="n">
        <v>0.5</v>
      </c>
      <c r="H8" s="14">
        <f>VLOOKUP(F8,'3.后台模块'!$E$75:$F$78,2,FALSE)</f>
        <v/>
      </c>
      <c r="I8" s="14">
        <f>G8*H8</f>
        <v/>
      </c>
    </row>
    <row r="9" ht="18" customHeight="1">
      <c r="A9" s="12" t="inlineStr">
        <is>
          <t>G6</t>
        </is>
      </c>
      <c r="B9" s="12" t="n">
        <v>3</v>
      </c>
      <c r="C9" s="19" t="inlineStr">
        <is>
          <t>G. 系统认证</t>
        </is>
      </c>
      <c r="D9" s="4" t="inlineStr">
        <is>
          <t>RBAC 权限</t>
        </is>
      </c>
      <c r="E9" s="4" t="inlineStr">
        <is>
          <t>按钮级操作权限</t>
        </is>
      </c>
      <c r="F9" s="12" t="inlineStr">
        <is>
          <t>前端开发</t>
        </is>
      </c>
      <c r="G9" s="20" t="n">
        <v>0.6</v>
      </c>
      <c r="H9" s="14">
        <f>VLOOKUP(F9,'3.后台模块'!$E$75:$F$78,2,FALSE)</f>
        <v/>
      </c>
      <c r="I9" s="14">
        <f>G9*H9</f>
        <v/>
      </c>
    </row>
    <row r="10" ht="18" customHeight="1">
      <c r="A10" s="12" t="inlineStr">
        <is>
          <t>H1</t>
        </is>
      </c>
      <c r="B10" s="12" t="n">
        <v>3</v>
      </c>
      <c r="C10" s="19" t="inlineStr">
        <is>
          <t>H. 工作台</t>
        </is>
      </c>
      <c r="D10" s="4" t="inlineStr">
        <is>
          <t>数据看板</t>
        </is>
      </c>
      <c r="E10" s="4" t="inlineStr">
        <is>
          <t>关键指标卡片（订单/GMV/用户）</t>
        </is>
      </c>
      <c r="F10" s="12" t="inlineStr">
        <is>
          <t>前端开发</t>
        </is>
      </c>
      <c r="G10" s="20" t="n">
        <v>0.7</v>
      </c>
      <c r="H10" s="14">
        <f>VLOOKUP(F10,'3.后台模块'!$E$75:$F$78,2,FALSE)</f>
        <v/>
      </c>
      <c r="I10" s="14">
        <f>G10*H10</f>
        <v/>
      </c>
    </row>
    <row r="11" ht="18" customHeight="1">
      <c r="A11" s="12" t="inlineStr">
        <is>
          <t>H2</t>
        </is>
      </c>
      <c r="B11" s="12" t="n">
        <v>3</v>
      </c>
      <c r="C11" s="19" t="inlineStr">
        <is>
          <t>H. 工作台</t>
        </is>
      </c>
      <c r="D11" s="4" t="inlineStr">
        <is>
          <t>数据看板</t>
        </is>
      </c>
      <c r="E11" s="4" t="inlineStr">
        <is>
          <t>销售趋势折线图</t>
        </is>
      </c>
      <c r="F11" s="12" t="inlineStr">
        <is>
          <t>前端开发</t>
        </is>
      </c>
      <c r="G11" s="20" t="n">
        <v>0.7</v>
      </c>
      <c r="H11" s="14">
        <f>VLOOKUP(F11,'3.后台模块'!$E$75:$F$78,2,FALSE)</f>
        <v/>
      </c>
      <c r="I11" s="14">
        <f>G11*H11</f>
        <v/>
      </c>
    </row>
    <row r="12" ht="18" customHeight="1">
      <c r="A12" s="12" t="inlineStr">
        <is>
          <t>H3</t>
        </is>
      </c>
      <c r="B12" s="12" t="n">
        <v>3</v>
      </c>
      <c r="C12" s="19" t="inlineStr">
        <is>
          <t>H. 工作台</t>
        </is>
      </c>
      <c r="D12" s="4" t="inlineStr">
        <is>
          <t>数据看板</t>
        </is>
      </c>
      <c r="E12" s="4" t="inlineStr">
        <is>
          <t>渠道分布饼图</t>
        </is>
      </c>
      <c r="F12" s="12" t="inlineStr">
        <is>
          <t>前端开发</t>
        </is>
      </c>
      <c r="G12" s="20" t="n">
        <v>0.6</v>
      </c>
      <c r="H12" s="14">
        <f>VLOOKUP(F12,'3.后台模块'!$E$75:$F$78,2,FALSE)</f>
        <v/>
      </c>
      <c r="I12" s="14">
        <f>G12*H12</f>
        <v/>
      </c>
    </row>
    <row r="13" ht="18" customHeight="1">
      <c r="A13" s="12" t="inlineStr">
        <is>
          <t>H4</t>
        </is>
      </c>
      <c r="B13" s="12" t="n">
        <v>3</v>
      </c>
      <c r="C13" s="19" t="inlineStr">
        <is>
          <t>H. 工作台</t>
        </is>
      </c>
      <c r="D13" s="4" t="inlineStr">
        <is>
          <t>数据看板</t>
        </is>
      </c>
      <c r="E13" s="4" t="inlineStr">
        <is>
          <t>实时数据刷新</t>
        </is>
      </c>
      <c r="F13" s="12" t="inlineStr">
        <is>
          <t>前端开发</t>
        </is>
      </c>
      <c r="G13" s="20" t="n">
        <v>0.5</v>
      </c>
      <c r="H13" s="14">
        <f>VLOOKUP(F13,'3.后台模块'!$E$75:$F$78,2,FALSE)</f>
        <v/>
      </c>
      <c r="I13" s="14">
        <f>G13*H13</f>
        <v/>
      </c>
    </row>
    <row r="14" ht="18" customHeight="1">
      <c r="A14" s="12" t="inlineStr">
        <is>
          <t>H5</t>
        </is>
      </c>
      <c r="B14" s="12" t="n">
        <v>3</v>
      </c>
      <c r="C14" s="19" t="inlineStr">
        <is>
          <t>H. 工作台</t>
        </is>
      </c>
      <c r="D14" s="4" t="inlineStr">
        <is>
          <t>数据看板</t>
        </is>
      </c>
      <c r="E14" s="4" t="inlineStr">
        <is>
          <t>待办事项列表</t>
        </is>
      </c>
      <c r="F14" s="12" t="inlineStr">
        <is>
          <t>前端开发</t>
        </is>
      </c>
      <c r="G14" s="20" t="n">
        <v>0.5</v>
      </c>
      <c r="H14" s="14">
        <f>VLOOKUP(F14,'3.后台模块'!$E$75:$F$78,2,FALSE)</f>
        <v/>
      </c>
      <c r="I14" s="14">
        <f>G14*H14</f>
        <v/>
      </c>
    </row>
    <row r="15" ht="18" customHeight="1">
      <c r="A15" s="12" t="inlineStr">
        <is>
          <t>I1</t>
        </is>
      </c>
      <c r="B15" s="12" t="n">
        <v>3</v>
      </c>
      <c r="C15" s="19" t="inlineStr">
        <is>
          <t>I. 商品管理</t>
        </is>
      </c>
      <c r="D15" s="4" t="inlineStr">
        <is>
          <t>商品列表</t>
        </is>
      </c>
      <c r="E15" s="4" t="inlineStr">
        <is>
          <t>多条件筛选</t>
        </is>
      </c>
      <c r="F15" s="12" t="inlineStr">
        <is>
          <t>前端开发</t>
        </is>
      </c>
      <c r="G15" s="20" t="n">
        <v>0.5</v>
      </c>
      <c r="H15" s="14">
        <f>VLOOKUP(F15,'3.后台模块'!$E$75:$F$78,2,FALSE)</f>
        <v/>
      </c>
      <c r="I15" s="14">
        <f>G15*H15</f>
        <v/>
      </c>
    </row>
    <row r="16" ht="18" customHeight="1">
      <c r="A16" s="12" t="inlineStr">
        <is>
          <t>I2</t>
        </is>
      </c>
      <c r="B16" s="12" t="n">
        <v>3</v>
      </c>
      <c r="C16" s="19" t="inlineStr">
        <is>
          <t>I. 商品管理</t>
        </is>
      </c>
      <c r="D16" s="4" t="inlineStr">
        <is>
          <t>商品列表</t>
        </is>
      </c>
      <c r="E16" s="4" t="inlineStr">
        <is>
          <t>批量上下架</t>
        </is>
      </c>
      <c r="F16" s="12" t="inlineStr">
        <is>
          <t>前端开发</t>
        </is>
      </c>
      <c r="G16" s="20" t="n">
        <v>0.5</v>
      </c>
      <c r="H16" s="14">
        <f>VLOOKUP(F16,'3.后台模块'!$E$75:$F$78,2,FALSE)</f>
        <v/>
      </c>
      <c r="I16" s="14">
        <f>G16*H16</f>
        <v/>
      </c>
    </row>
    <row r="17" ht="18" customHeight="1">
      <c r="A17" s="12" t="inlineStr">
        <is>
          <t>I3</t>
        </is>
      </c>
      <c r="B17" s="12" t="n">
        <v>3</v>
      </c>
      <c r="C17" s="19" t="inlineStr">
        <is>
          <t>I. 商品管理</t>
        </is>
      </c>
      <c r="D17" s="4" t="inlineStr">
        <is>
          <t>商品列表</t>
        </is>
      </c>
      <c r="E17" s="4" t="inlineStr">
        <is>
          <t>行内价格/库存编辑</t>
        </is>
      </c>
      <c r="F17" s="12" t="inlineStr">
        <is>
          <t>前端开发</t>
        </is>
      </c>
      <c r="G17" s="20" t="n">
        <v>0.5</v>
      </c>
      <c r="H17" s="14">
        <f>VLOOKUP(F17,'3.后台模块'!$E$75:$F$78,2,FALSE)</f>
        <v/>
      </c>
      <c r="I17" s="14">
        <f>G17*H17</f>
        <v/>
      </c>
    </row>
    <row r="18" ht="18" customHeight="1">
      <c r="A18" s="12" t="inlineStr">
        <is>
          <t>I4</t>
        </is>
      </c>
      <c r="B18" s="12" t="n">
        <v>3</v>
      </c>
      <c r="C18" s="19" t="inlineStr">
        <is>
          <t>I. 商品管理</t>
        </is>
      </c>
      <c r="D18" s="4" t="inlineStr">
        <is>
          <t>商品列表</t>
        </is>
      </c>
      <c r="E18" s="4" t="inlineStr">
        <is>
          <t>商品导出 Excel</t>
        </is>
      </c>
      <c r="F18" s="12" t="inlineStr">
        <is>
          <t>前端开发</t>
        </is>
      </c>
      <c r="G18" s="20" t="n">
        <v>0.4</v>
      </c>
      <c r="H18" s="14">
        <f>VLOOKUP(F18,'3.后台模块'!$E$75:$F$78,2,FALSE)</f>
        <v/>
      </c>
      <c r="I18" s="14">
        <f>G18*H18</f>
        <v/>
      </c>
    </row>
    <row r="19" ht="18" customHeight="1">
      <c r="A19" s="12" t="inlineStr">
        <is>
          <t>I5</t>
        </is>
      </c>
      <c r="B19" s="12" t="n">
        <v>3</v>
      </c>
      <c r="C19" s="19" t="inlineStr">
        <is>
          <t>I. 商品管理</t>
        </is>
      </c>
      <c r="D19" s="4" t="inlineStr">
        <is>
          <t>商品编辑</t>
        </is>
      </c>
      <c r="E19" s="4" t="inlineStr">
        <is>
          <t>基本信息表单</t>
        </is>
      </c>
      <c r="F19" s="12" t="inlineStr">
        <is>
          <t>前端开发</t>
        </is>
      </c>
      <c r="G19" s="20" t="n">
        <v>0.8</v>
      </c>
      <c r="H19" s="14">
        <f>VLOOKUP(F19,'3.后台模块'!$E$75:$F$78,2,FALSE)</f>
        <v/>
      </c>
      <c r="I19" s="14">
        <f>G19*H19</f>
        <v/>
      </c>
    </row>
    <row r="20" ht="18" customHeight="1">
      <c r="A20" s="12" t="inlineStr">
        <is>
          <t>I6</t>
        </is>
      </c>
      <c r="B20" s="12" t="n">
        <v>3</v>
      </c>
      <c r="C20" s="19" t="inlineStr">
        <is>
          <t>I. 商品管理</t>
        </is>
      </c>
      <c r="D20" s="4" t="inlineStr">
        <is>
          <t>商品编辑</t>
        </is>
      </c>
      <c r="E20" s="4" t="inlineStr">
        <is>
          <t>SKU 规格管理（多维规格组合）</t>
        </is>
      </c>
      <c r="F20" s="12" t="inlineStr">
        <is>
          <t>前端开发</t>
        </is>
      </c>
      <c r="G20" s="20" t="n">
        <v>1.2</v>
      </c>
      <c r="H20" s="14">
        <f>VLOOKUP(F20,'3.后台模块'!$E$75:$F$78,2,FALSE)</f>
        <v/>
      </c>
      <c r="I20" s="14">
        <f>G20*H20</f>
        <v/>
      </c>
    </row>
    <row r="21" ht="18" customHeight="1">
      <c r="A21" s="12" t="inlineStr">
        <is>
          <t>I7</t>
        </is>
      </c>
      <c r="B21" s="12" t="n">
        <v>3</v>
      </c>
      <c r="C21" s="19" t="inlineStr">
        <is>
          <t>I. 商品管理</t>
        </is>
      </c>
      <c r="D21" s="4" t="inlineStr">
        <is>
          <t>商品编辑</t>
        </is>
      </c>
      <c r="E21" s="4" t="inlineStr">
        <is>
          <t>图片上传（多图/拖拽）</t>
        </is>
      </c>
      <c r="F21" s="12" t="inlineStr">
        <is>
          <t>前端开发</t>
        </is>
      </c>
      <c r="G21" s="20" t="n">
        <v>0.5</v>
      </c>
      <c r="H21" s="14">
        <f>VLOOKUP(F21,'3.后台模块'!$E$75:$F$78,2,FALSE)</f>
        <v/>
      </c>
      <c r="I21" s="14">
        <f>G21*H21</f>
        <v/>
      </c>
    </row>
    <row r="22" ht="18" customHeight="1">
      <c r="A22" s="12" t="inlineStr">
        <is>
          <t>I8</t>
        </is>
      </c>
      <c r="B22" s="12" t="n">
        <v>3</v>
      </c>
      <c r="C22" s="19" t="inlineStr">
        <is>
          <t>I. 商品管理</t>
        </is>
      </c>
      <c r="D22" s="4" t="inlineStr">
        <is>
          <t>商品编辑</t>
        </is>
      </c>
      <c r="E22" s="4" t="inlineStr">
        <is>
          <t>富文本详情编辑</t>
        </is>
      </c>
      <c r="F22" s="12" t="inlineStr">
        <is>
          <t>前端开发</t>
        </is>
      </c>
      <c r="G22" s="20" t="n">
        <v>0.7</v>
      </c>
      <c r="H22" s="14">
        <f>VLOOKUP(F22,'3.后台模块'!$E$75:$F$78,2,FALSE)</f>
        <v/>
      </c>
      <c r="I22" s="14">
        <f>G22*H22</f>
        <v/>
      </c>
    </row>
    <row r="23" ht="18" customHeight="1">
      <c r="A23" s="12" t="inlineStr">
        <is>
          <t>I9</t>
        </is>
      </c>
      <c r="B23" s="12" t="n">
        <v>3</v>
      </c>
      <c r="C23" s="19" t="inlineStr">
        <is>
          <t>I. 商品管理</t>
        </is>
      </c>
      <c r="D23" s="4" t="inlineStr">
        <is>
          <t>商品编辑</t>
        </is>
      </c>
      <c r="E23" s="4" t="inlineStr">
        <is>
          <t>商品关联（分类/标签/活动）</t>
        </is>
      </c>
      <c r="F23" s="12" t="inlineStr">
        <is>
          <t>前端开发</t>
        </is>
      </c>
      <c r="G23" s="20" t="n">
        <v>0.4</v>
      </c>
      <c r="H23" s="14">
        <f>VLOOKUP(F23,'3.后台模块'!$E$75:$F$78,2,FALSE)</f>
        <v/>
      </c>
      <c r="I23" s="14">
        <f>G23*H23</f>
        <v/>
      </c>
    </row>
    <row r="24" ht="18" customHeight="1">
      <c r="A24" s="12" t="inlineStr">
        <is>
          <t>I10</t>
        </is>
      </c>
      <c r="B24" s="12" t="n">
        <v>3</v>
      </c>
      <c r="C24" s="19" t="inlineStr">
        <is>
          <t>I. 商品管理</t>
        </is>
      </c>
      <c r="D24" s="4" t="inlineStr">
        <is>
          <t>商品分类</t>
        </is>
      </c>
      <c r="E24" s="4" t="inlineStr">
        <is>
          <t>树形结构渲染</t>
        </is>
      </c>
      <c r="F24" s="12" t="inlineStr">
        <is>
          <t>前端开发</t>
        </is>
      </c>
      <c r="G24" s="20" t="n">
        <v>0.5</v>
      </c>
      <c r="H24" s="14">
        <f>VLOOKUP(F24,'3.后台模块'!$E$75:$F$78,2,FALSE)</f>
        <v/>
      </c>
      <c r="I24" s="14">
        <f>G24*H24</f>
        <v/>
      </c>
    </row>
    <row r="25" ht="18" customHeight="1">
      <c r="A25" s="12" t="inlineStr">
        <is>
          <t>I11</t>
        </is>
      </c>
      <c r="B25" s="12" t="n">
        <v>3</v>
      </c>
      <c r="C25" s="19" t="inlineStr">
        <is>
          <t>I. 商品管理</t>
        </is>
      </c>
      <c r="D25" s="4" t="inlineStr">
        <is>
          <t>商品分类</t>
        </is>
      </c>
      <c r="E25" s="4" t="inlineStr">
        <is>
          <t>增删改与拖拽排序</t>
        </is>
      </c>
      <c r="F25" s="12" t="inlineStr">
        <is>
          <t>前端开发</t>
        </is>
      </c>
      <c r="G25" s="20" t="n">
        <v>0.4</v>
      </c>
      <c r="H25" s="14">
        <f>VLOOKUP(F25,'3.后台模块'!$E$75:$F$78,2,FALSE)</f>
        <v/>
      </c>
      <c r="I25" s="14">
        <f>G25*H25</f>
        <v/>
      </c>
    </row>
    <row r="26" ht="18" customHeight="1">
      <c r="A26" s="12" t="inlineStr">
        <is>
          <t>I12</t>
        </is>
      </c>
      <c r="B26" s="12" t="n">
        <v>3</v>
      </c>
      <c r="C26" s="19" t="inlineStr">
        <is>
          <t>I. 商品管理</t>
        </is>
      </c>
      <c r="D26" s="4" t="inlineStr">
        <is>
          <t>商品分类</t>
        </is>
      </c>
      <c r="E26" s="4" t="inlineStr">
        <is>
          <t>启用 / 禁用切换</t>
        </is>
      </c>
      <c r="F26" s="12" t="inlineStr">
        <is>
          <t>前端开发</t>
        </is>
      </c>
      <c r="G26" s="20" t="n">
        <v>0.4</v>
      </c>
      <c r="H26" s="14">
        <f>VLOOKUP(F26,'3.后台模块'!$E$75:$F$78,2,FALSE)</f>
        <v/>
      </c>
      <c r="I26" s="14">
        <f>G26*H26</f>
        <v/>
      </c>
    </row>
    <row r="27" ht="18" customHeight="1">
      <c r="A27" s="12" t="inlineStr">
        <is>
          <t>J1</t>
        </is>
      </c>
      <c r="B27" s="12" t="n">
        <v>3</v>
      </c>
      <c r="C27" s="19" t="inlineStr">
        <is>
          <t>J. 订单管理</t>
        </is>
      </c>
      <c r="D27" s="4" t="inlineStr">
        <is>
          <t>订单列表</t>
        </is>
      </c>
      <c r="E27" s="4" t="inlineStr">
        <is>
          <t>多维筛选（状态/时间/渠道/支付）</t>
        </is>
      </c>
      <c r="F27" s="12" t="inlineStr">
        <is>
          <t>前端开发</t>
        </is>
      </c>
      <c r="G27" s="20" t="n">
        <v>0.6</v>
      </c>
      <c r="H27" s="14">
        <f>VLOOKUP(F27,'3.后台模块'!$E$75:$F$78,2,FALSE)</f>
        <v/>
      </c>
      <c r="I27" s="14">
        <f>G27*H27</f>
        <v/>
      </c>
    </row>
    <row r="28" ht="18" customHeight="1">
      <c r="A28" s="12" t="inlineStr">
        <is>
          <t>J2</t>
        </is>
      </c>
      <c r="B28" s="12" t="n">
        <v>3</v>
      </c>
      <c r="C28" s="19" t="inlineStr">
        <is>
          <t>J. 订单管理</t>
        </is>
      </c>
      <c r="D28" s="4" t="inlineStr">
        <is>
          <t>订单列表</t>
        </is>
      </c>
      <c r="E28" s="4" t="inlineStr">
        <is>
          <t>订单详情查看</t>
        </is>
      </c>
      <c r="F28" s="12" t="inlineStr">
        <is>
          <t>前端开发</t>
        </is>
      </c>
      <c r="G28" s="20" t="n">
        <v>0.6</v>
      </c>
      <c r="H28" s="14">
        <f>VLOOKUP(F28,'3.后台模块'!$E$75:$F$78,2,FALSE)</f>
        <v/>
      </c>
      <c r="I28" s="14">
        <f>G28*H28</f>
        <v/>
      </c>
    </row>
    <row r="29" ht="18" customHeight="1">
      <c r="A29" s="12" t="inlineStr">
        <is>
          <t>J3</t>
        </is>
      </c>
      <c r="B29" s="12" t="n">
        <v>3</v>
      </c>
      <c r="C29" s="19" t="inlineStr">
        <is>
          <t>J. 订单管理</t>
        </is>
      </c>
      <c r="D29" s="4" t="inlineStr">
        <is>
          <t>订单列表</t>
        </is>
      </c>
      <c r="E29" s="4" t="inlineStr">
        <is>
          <t>订单导出 / 打印</t>
        </is>
      </c>
      <c r="F29" s="12" t="inlineStr">
        <is>
          <t>前端开发</t>
        </is>
      </c>
      <c r="G29" s="20" t="n">
        <v>0.5</v>
      </c>
      <c r="H29" s="14">
        <f>VLOOKUP(F29,'3.后台模块'!$E$75:$F$78,2,FALSE)</f>
        <v/>
      </c>
      <c r="I29" s="14">
        <f>G29*H29</f>
        <v/>
      </c>
    </row>
    <row r="30" ht="18" customHeight="1">
      <c r="A30" s="12" t="inlineStr">
        <is>
          <t>J4</t>
        </is>
      </c>
      <c r="B30" s="12" t="n">
        <v>3</v>
      </c>
      <c r="C30" s="19" t="inlineStr">
        <is>
          <t>J. 订单管理</t>
        </is>
      </c>
      <c r="D30" s="4" t="inlineStr">
        <is>
          <t>订单列表</t>
        </is>
      </c>
      <c r="E30" s="4" t="inlineStr">
        <is>
          <t>手动改价 / 关闭订单</t>
        </is>
      </c>
      <c r="F30" s="12" t="inlineStr">
        <is>
          <t>前端开发</t>
        </is>
      </c>
      <c r="G30" s="20" t="n">
        <v>0.4</v>
      </c>
      <c r="H30" s="14">
        <f>VLOOKUP(F30,'3.后台模块'!$E$75:$F$78,2,FALSE)</f>
        <v/>
      </c>
      <c r="I30" s="14">
        <f>G30*H30</f>
        <v/>
      </c>
    </row>
    <row r="31" ht="18" customHeight="1">
      <c r="A31" s="12" t="inlineStr">
        <is>
          <t>J5</t>
        </is>
      </c>
      <c r="B31" s="12" t="n">
        <v>3</v>
      </c>
      <c r="C31" s="19" t="inlineStr">
        <is>
          <t>J. 订单管理</t>
        </is>
      </c>
      <c r="D31" s="4" t="inlineStr">
        <is>
          <t>退款审核</t>
        </is>
      </c>
      <c r="E31" s="4" t="inlineStr">
        <is>
          <t>待审核列表</t>
        </is>
      </c>
      <c r="F31" s="12" t="inlineStr">
        <is>
          <t>前端开发</t>
        </is>
      </c>
      <c r="G31" s="20" t="n">
        <v>0.6</v>
      </c>
      <c r="H31" s="14">
        <f>VLOOKUP(F31,'3.后台模块'!$E$75:$F$78,2,FALSE)</f>
        <v/>
      </c>
      <c r="I31" s="14">
        <f>G31*H31</f>
        <v/>
      </c>
    </row>
    <row r="32" ht="18" customHeight="1">
      <c r="A32" s="12" t="inlineStr">
        <is>
          <t>J6</t>
        </is>
      </c>
      <c r="B32" s="12" t="n">
        <v>3</v>
      </c>
      <c r="C32" s="19" t="inlineStr">
        <is>
          <t>J. 订单管理</t>
        </is>
      </c>
      <c r="D32" s="4" t="inlineStr">
        <is>
          <t>退款审核</t>
        </is>
      </c>
      <c r="E32" s="4" t="inlineStr">
        <is>
          <t>同意 / 拒绝流程</t>
        </is>
      </c>
      <c r="F32" s="12" t="inlineStr">
        <is>
          <t>前端开发</t>
        </is>
      </c>
      <c r="G32" s="20" t="n">
        <v>0.6</v>
      </c>
      <c r="H32" s="14">
        <f>VLOOKUP(F32,'3.后台模块'!$E$75:$F$78,2,FALSE)</f>
        <v/>
      </c>
      <c r="I32" s="14">
        <f>G32*H32</f>
        <v/>
      </c>
    </row>
    <row r="33" ht="18" customHeight="1">
      <c r="A33" s="12" t="inlineStr">
        <is>
          <t>J7</t>
        </is>
      </c>
      <c r="B33" s="12" t="n">
        <v>3</v>
      </c>
      <c r="C33" s="19" t="inlineStr">
        <is>
          <t>J. 订单管理</t>
        </is>
      </c>
      <c r="D33" s="4" t="inlineStr">
        <is>
          <t>退款审核</t>
        </is>
      </c>
      <c r="E33" s="4" t="inlineStr">
        <is>
          <t>退款单状态机</t>
        </is>
      </c>
      <c r="F33" s="12" t="inlineStr">
        <is>
          <t>前端开发</t>
        </is>
      </c>
      <c r="G33" s="20" t="n">
        <v>0.6</v>
      </c>
      <c r="H33" s="14">
        <f>VLOOKUP(F33,'3.后台模块'!$E$75:$F$78,2,FALSE)</f>
        <v/>
      </c>
      <c r="I33" s="14">
        <f>G33*H33</f>
        <v/>
      </c>
    </row>
    <row r="34" ht="18" customHeight="1">
      <c r="A34" s="12" t="inlineStr">
        <is>
          <t>J8</t>
        </is>
      </c>
      <c r="B34" s="12" t="n">
        <v>3</v>
      </c>
      <c r="C34" s="19" t="inlineStr">
        <is>
          <t>J. 订单管理</t>
        </is>
      </c>
      <c r="D34" s="4" t="inlineStr">
        <is>
          <t>退款审核</t>
        </is>
      </c>
      <c r="E34" s="4" t="inlineStr">
        <is>
          <t>凭证查看 / 备注</t>
        </is>
      </c>
      <c r="F34" s="12" t="inlineStr">
        <is>
          <t>前端开发</t>
        </is>
      </c>
      <c r="G34" s="20" t="n">
        <v>0.4</v>
      </c>
      <c r="H34" s="14">
        <f>VLOOKUP(F34,'3.后台模块'!$E$75:$F$78,2,FALSE)</f>
        <v/>
      </c>
      <c r="I34" s="14">
        <f>G34*H34</f>
        <v/>
      </c>
    </row>
    <row r="35" ht="18" customHeight="1">
      <c r="A35" s="12" t="inlineStr">
        <is>
          <t>J9</t>
        </is>
      </c>
      <c r="B35" s="12" t="n">
        <v>3</v>
      </c>
      <c r="C35" s="19" t="inlineStr">
        <is>
          <t>J. 订单管理</t>
        </is>
      </c>
      <c r="D35" s="4" t="inlineStr">
        <is>
          <t>退款审核</t>
        </is>
      </c>
      <c r="E35" s="4" t="inlineStr">
        <is>
          <t>退款打款回执</t>
        </is>
      </c>
      <c r="F35" s="12" t="inlineStr">
        <is>
          <t>前端开发</t>
        </is>
      </c>
      <c r="G35" s="20" t="n">
        <v>0.3</v>
      </c>
      <c r="H35" s="14">
        <f>VLOOKUP(F35,'3.后台模块'!$E$75:$F$78,2,FALSE)</f>
        <v/>
      </c>
      <c r="I35" s="14">
        <f>G35*H35</f>
        <v/>
      </c>
    </row>
    <row r="36" ht="18" customHeight="1">
      <c r="A36" s="12" t="inlineStr">
        <is>
          <t>K1</t>
        </is>
      </c>
      <c r="B36" s="12" t="n">
        <v>3</v>
      </c>
      <c r="C36" s="19" t="inlineStr">
        <is>
          <t>K. 渠道供货</t>
        </is>
      </c>
      <c r="D36" s="4" t="inlineStr">
        <is>
          <t>渠道商管理</t>
        </is>
      </c>
      <c r="E36" s="4" t="inlineStr">
        <is>
          <t>列表与筛选</t>
        </is>
      </c>
      <c r="F36" s="12" t="inlineStr">
        <is>
          <t>前端开发</t>
        </is>
      </c>
      <c r="G36" s="20" t="n">
        <v>0.4</v>
      </c>
      <c r="H36" s="14">
        <f>VLOOKUP(F36,'3.后台模块'!$E$75:$F$78,2,FALSE)</f>
        <v/>
      </c>
      <c r="I36" s="14">
        <f>G36*H36</f>
        <v/>
      </c>
    </row>
    <row r="37" ht="18" customHeight="1">
      <c r="A37" s="12" t="inlineStr">
        <is>
          <t>K2</t>
        </is>
      </c>
      <c r="B37" s="12" t="n">
        <v>3</v>
      </c>
      <c r="C37" s="19" t="inlineStr">
        <is>
          <t>K. 渠道供货</t>
        </is>
      </c>
      <c r="D37" s="4" t="inlineStr">
        <is>
          <t>渠道商管理</t>
        </is>
      </c>
      <c r="E37" s="4" t="inlineStr">
        <is>
          <t>入驻审核</t>
        </is>
      </c>
      <c r="F37" s="12" t="inlineStr">
        <is>
          <t>前端开发</t>
        </is>
      </c>
      <c r="G37" s="20" t="n">
        <v>0.7</v>
      </c>
      <c r="H37" s="14">
        <f>VLOOKUP(F37,'3.后台模块'!$E$75:$F$78,2,FALSE)</f>
        <v/>
      </c>
      <c r="I37" s="14">
        <f>G37*H37</f>
        <v/>
      </c>
    </row>
    <row r="38" ht="18" customHeight="1">
      <c r="A38" s="12" t="inlineStr">
        <is>
          <t>K3</t>
        </is>
      </c>
      <c r="B38" s="12" t="n">
        <v>3</v>
      </c>
      <c r="C38" s="19" t="inlineStr">
        <is>
          <t>K. 渠道供货</t>
        </is>
      </c>
      <c r="D38" s="4" t="inlineStr">
        <is>
          <t>渠道商管理</t>
        </is>
      </c>
      <c r="E38" s="4" t="inlineStr">
        <is>
          <t>渠道二维码生成</t>
        </is>
      </c>
      <c r="F38" s="12" t="inlineStr">
        <is>
          <t>前端开发</t>
        </is>
      </c>
      <c r="G38" s="20" t="n">
        <v>0.5</v>
      </c>
      <c r="H38" s="14">
        <f>VLOOKUP(F38,'3.后台模块'!$E$75:$F$78,2,FALSE)</f>
        <v/>
      </c>
      <c r="I38" s="14">
        <f>G38*H38</f>
        <v/>
      </c>
    </row>
    <row r="39" ht="18" customHeight="1">
      <c r="A39" s="12" t="inlineStr">
        <is>
          <t>K4</t>
        </is>
      </c>
      <c r="B39" s="12" t="n">
        <v>3</v>
      </c>
      <c r="C39" s="19" t="inlineStr">
        <is>
          <t>K. 渠道供货</t>
        </is>
      </c>
      <c r="D39" s="4" t="inlineStr">
        <is>
          <t>渠道商管理</t>
        </is>
      </c>
      <c r="E39" s="4" t="inlineStr">
        <is>
          <t>业绩统计与佣金预览</t>
        </is>
      </c>
      <c r="F39" s="12" t="inlineStr">
        <is>
          <t>前端开发</t>
        </is>
      </c>
      <c r="G39" s="20" t="n">
        <v>0.5</v>
      </c>
      <c r="H39" s="14">
        <f>VLOOKUP(F39,'3.后台模块'!$E$75:$F$78,2,FALSE)</f>
        <v/>
      </c>
      <c r="I39" s="14">
        <f>G39*H39</f>
        <v/>
      </c>
    </row>
    <row r="40" ht="18" customHeight="1">
      <c r="A40" s="12" t="inlineStr">
        <is>
          <t>K5</t>
        </is>
      </c>
      <c r="B40" s="12" t="n">
        <v>3</v>
      </c>
      <c r="C40" s="19" t="inlineStr">
        <is>
          <t>K. 渠道供货</t>
        </is>
      </c>
      <c r="D40" s="4" t="inlineStr">
        <is>
          <t>供货商管理</t>
        </is>
      </c>
      <c r="E40" s="4" t="inlineStr">
        <is>
          <t>列表与筛选</t>
        </is>
      </c>
      <c r="F40" s="12" t="inlineStr">
        <is>
          <t>前端开发</t>
        </is>
      </c>
      <c r="G40" s="20" t="n">
        <v>0.4</v>
      </c>
      <c r="H40" s="14">
        <f>VLOOKUP(F40,'3.后台模块'!$E$75:$F$78,2,FALSE)</f>
        <v/>
      </c>
      <c r="I40" s="14">
        <f>G40*H40</f>
        <v/>
      </c>
    </row>
    <row r="41" ht="18" customHeight="1">
      <c r="A41" s="12" t="inlineStr">
        <is>
          <t>K6</t>
        </is>
      </c>
      <c r="B41" s="12" t="n">
        <v>3</v>
      </c>
      <c r="C41" s="19" t="inlineStr">
        <is>
          <t>K. 渠道供货</t>
        </is>
      </c>
      <c r="D41" s="4" t="inlineStr">
        <is>
          <t>供货商管理</t>
        </is>
      </c>
      <c r="E41" s="4" t="inlineStr">
        <is>
          <t>资质审核</t>
        </is>
      </c>
      <c r="F41" s="12" t="inlineStr">
        <is>
          <t>前端开发</t>
        </is>
      </c>
      <c r="G41" s="20" t="n">
        <v>0.7</v>
      </c>
      <c r="H41" s="14">
        <f>VLOOKUP(F41,'3.后台模块'!$E$75:$F$78,2,FALSE)</f>
        <v/>
      </c>
      <c r="I41" s="14">
        <f>G41*H41</f>
        <v/>
      </c>
    </row>
    <row r="42" ht="18" customHeight="1">
      <c r="A42" s="12" t="inlineStr">
        <is>
          <t>K7</t>
        </is>
      </c>
      <c r="B42" s="12" t="n">
        <v>3</v>
      </c>
      <c r="C42" s="19" t="inlineStr">
        <is>
          <t>K. 渠道供货</t>
        </is>
      </c>
      <c r="D42" s="4" t="inlineStr">
        <is>
          <t>供货商管理</t>
        </is>
      </c>
      <c r="E42" s="4" t="inlineStr">
        <is>
          <t>供货范围配置</t>
        </is>
      </c>
      <c r="F42" s="12" t="inlineStr">
        <is>
          <t>前端开发</t>
        </is>
      </c>
      <c r="G42" s="20" t="n">
        <v>0.5</v>
      </c>
      <c r="H42" s="14">
        <f>VLOOKUP(F42,'3.后台模块'!$E$75:$F$78,2,FALSE)</f>
        <v/>
      </c>
      <c r="I42" s="14">
        <f>G42*H42</f>
        <v/>
      </c>
    </row>
    <row r="43" ht="18" customHeight="1">
      <c r="A43" s="12" t="inlineStr">
        <is>
          <t>K8</t>
        </is>
      </c>
      <c r="B43" s="12" t="n">
        <v>3</v>
      </c>
      <c r="C43" s="19" t="inlineStr">
        <is>
          <t>K. 渠道供货</t>
        </is>
      </c>
      <c r="D43" s="4" t="inlineStr">
        <is>
          <t>供货商管理</t>
        </is>
      </c>
      <c r="E43" s="4" t="inlineStr">
        <is>
          <t>接单 / 发货操作</t>
        </is>
      </c>
      <c r="F43" s="12" t="inlineStr">
        <is>
          <t>前端开发</t>
        </is>
      </c>
      <c r="G43" s="20" t="n">
        <v>0.8</v>
      </c>
      <c r="H43" s="14">
        <f>VLOOKUP(F43,'3.后台模块'!$E$75:$F$78,2,FALSE)</f>
        <v/>
      </c>
      <c r="I43" s="14">
        <f>G43*H43</f>
        <v/>
      </c>
    </row>
    <row r="44" ht="18" customHeight="1">
      <c r="A44" s="12" t="inlineStr">
        <is>
          <t>L1</t>
        </is>
      </c>
      <c r="B44" s="12" t="n">
        <v>3</v>
      </c>
      <c r="C44" s="19" t="inlineStr">
        <is>
          <t>L. 地区营销</t>
        </is>
      </c>
      <c r="D44" s="4" t="inlineStr">
        <is>
          <t>地区管理</t>
        </is>
      </c>
      <c r="E44" s="4" t="inlineStr">
        <is>
          <t>省市区三级联动</t>
        </is>
      </c>
      <c r="F44" s="12" t="inlineStr">
        <is>
          <t>前端开发</t>
        </is>
      </c>
      <c r="G44" s="20" t="n">
        <v>0.5</v>
      </c>
      <c r="H44" s="14">
        <f>VLOOKUP(F44,'3.后台模块'!$E$75:$F$78,2,FALSE)</f>
        <v/>
      </c>
      <c r="I44" s="14">
        <f>G44*H44</f>
        <v/>
      </c>
    </row>
    <row r="45" ht="18" customHeight="1">
      <c r="A45" s="12" t="inlineStr">
        <is>
          <t>L2</t>
        </is>
      </c>
      <c r="B45" s="12" t="n">
        <v>3</v>
      </c>
      <c r="C45" s="19" t="inlineStr">
        <is>
          <t>L. 地区营销</t>
        </is>
      </c>
      <c r="D45" s="4" t="inlineStr">
        <is>
          <t>地区管理</t>
        </is>
      </c>
      <c r="E45" s="4" t="inlineStr">
        <is>
          <t>地区运营账号分配</t>
        </is>
      </c>
      <c r="F45" s="12" t="inlineStr">
        <is>
          <t>前端开发</t>
        </is>
      </c>
      <c r="G45" s="20" t="n">
        <v>0.5</v>
      </c>
      <c r="H45" s="14">
        <f>VLOOKUP(F45,'3.后台模块'!$E$75:$F$78,2,FALSE)</f>
        <v/>
      </c>
      <c r="I45" s="14">
        <f>G45*H45</f>
        <v/>
      </c>
    </row>
    <row r="46" ht="18" customHeight="1">
      <c r="A46" s="12" t="inlineStr">
        <is>
          <t>L3</t>
        </is>
      </c>
      <c r="B46" s="12" t="n">
        <v>3</v>
      </c>
      <c r="C46" s="19" t="inlineStr">
        <is>
          <t>L. 地区营销</t>
        </is>
      </c>
      <c r="D46" s="4" t="inlineStr">
        <is>
          <t>Banner 营销</t>
        </is>
      </c>
      <c r="E46" s="4" t="inlineStr">
        <is>
          <t>列表与筛选</t>
        </is>
      </c>
      <c r="F46" s="12" t="inlineStr">
        <is>
          <t>前端开发</t>
        </is>
      </c>
      <c r="G46" s="20" t="n">
        <v>0.4</v>
      </c>
      <c r="H46" s="14">
        <f>VLOOKUP(F46,'3.后台模块'!$E$75:$F$78,2,FALSE)</f>
        <v/>
      </c>
      <c r="I46" s="14">
        <f>G46*H46</f>
        <v/>
      </c>
    </row>
    <row r="47" ht="18" customHeight="1">
      <c r="A47" s="12" t="inlineStr">
        <is>
          <t>L4</t>
        </is>
      </c>
      <c r="B47" s="12" t="n">
        <v>3</v>
      </c>
      <c r="C47" s="19" t="inlineStr">
        <is>
          <t>L. 地区营销</t>
        </is>
      </c>
      <c r="D47" s="4" t="inlineStr">
        <is>
          <t>Banner 营销</t>
        </is>
      </c>
      <c r="E47" s="4" t="inlineStr">
        <is>
          <t>新增 / 编辑</t>
        </is>
      </c>
      <c r="F47" s="12" t="inlineStr">
        <is>
          <t>前端开发</t>
        </is>
      </c>
      <c r="G47" s="20" t="n">
        <v>0.5</v>
      </c>
      <c r="H47" s="14">
        <f>VLOOKUP(F47,'3.后台模块'!$E$75:$F$78,2,FALSE)</f>
        <v/>
      </c>
      <c r="I47" s="14">
        <f>G47*H47</f>
        <v/>
      </c>
    </row>
    <row r="48" ht="18" customHeight="1">
      <c r="A48" s="12" t="inlineStr">
        <is>
          <t>L5</t>
        </is>
      </c>
      <c r="B48" s="12" t="n">
        <v>3</v>
      </c>
      <c r="C48" s="19" t="inlineStr">
        <is>
          <t>L. 地区营销</t>
        </is>
      </c>
      <c r="D48" s="4" t="inlineStr">
        <is>
          <t>Banner 营销</t>
        </is>
      </c>
      <c r="E48" s="4" t="inlineStr">
        <is>
          <t>上下线时间配置</t>
        </is>
      </c>
      <c r="F48" s="12" t="inlineStr">
        <is>
          <t>前端开发</t>
        </is>
      </c>
      <c r="G48" s="20" t="n">
        <v>0.3</v>
      </c>
      <c r="H48" s="14">
        <f>VLOOKUP(F48,'3.后台模块'!$E$75:$F$78,2,FALSE)</f>
        <v/>
      </c>
      <c r="I48" s="14">
        <f>G48*H48</f>
        <v/>
      </c>
    </row>
    <row r="49" ht="18" customHeight="1">
      <c r="A49" s="12" t="inlineStr">
        <is>
          <t>L6</t>
        </is>
      </c>
      <c r="B49" s="12" t="n">
        <v>3</v>
      </c>
      <c r="C49" s="19" t="inlineStr">
        <is>
          <t>L. 地区营销</t>
        </is>
      </c>
      <c r="D49" s="4" t="inlineStr">
        <is>
          <t>Banner 营销</t>
        </is>
      </c>
      <c r="E49" s="4" t="inlineStr">
        <is>
          <t>点击跳转 / 活动绑定</t>
        </is>
      </c>
      <c r="F49" s="12" t="inlineStr">
        <is>
          <t>前端开发</t>
        </is>
      </c>
      <c r="G49" s="20" t="n">
        <v>0.4</v>
      </c>
      <c r="H49" s="14">
        <f>VLOOKUP(F49,'3.后台模块'!$E$75:$F$78,2,FALSE)</f>
        <v/>
      </c>
      <c r="I49" s="14">
        <f>G49*H49</f>
        <v/>
      </c>
    </row>
    <row r="50" ht="18" customHeight="1">
      <c r="A50" s="12" t="inlineStr">
        <is>
          <t>L7</t>
        </is>
      </c>
      <c r="B50" s="12" t="n">
        <v>3</v>
      </c>
      <c r="C50" s="19" t="inlineStr">
        <is>
          <t>L. 地区营销</t>
        </is>
      </c>
      <c r="D50" s="4" t="inlineStr">
        <is>
          <t>Banner 营销</t>
        </is>
      </c>
      <c r="E50" s="4" t="inlineStr">
        <is>
          <t>实时预览</t>
        </is>
      </c>
      <c r="F50" s="12" t="inlineStr">
        <is>
          <t>前端开发</t>
        </is>
      </c>
      <c r="G50" s="20" t="n">
        <v>0.4</v>
      </c>
      <c r="H50" s="14">
        <f>VLOOKUP(F50,'3.后台模块'!$E$75:$F$78,2,FALSE)</f>
        <v/>
      </c>
      <c r="I50" s="14">
        <f>G50*H50</f>
        <v/>
      </c>
    </row>
    <row r="51" ht="18" customHeight="1">
      <c r="A51" s="12" t="inlineStr">
        <is>
          <t>M1</t>
        </is>
      </c>
      <c r="B51" s="12" t="n">
        <v>3</v>
      </c>
      <c r="C51" s="19" t="inlineStr">
        <is>
          <t>M. 财务管理</t>
        </is>
      </c>
      <c r="D51" s="4" t="inlineStr">
        <is>
          <t>账单</t>
        </is>
      </c>
      <c r="E51" s="4" t="inlineStr">
        <is>
          <t>渠道商佣金账单</t>
        </is>
      </c>
      <c r="F51" s="12" t="inlineStr">
        <is>
          <t>前端开发</t>
        </is>
      </c>
      <c r="G51" s="20" t="n">
        <v>0.5</v>
      </c>
      <c r="H51" s="14">
        <f>VLOOKUP(F51,'3.后台模块'!$E$75:$F$78,2,FALSE)</f>
        <v/>
      </c>
      <c r="I51" s="14">
        <f>G51*H51</f>
        <v/>
      </c>
    </row>
    <row r="52" ht="18" customHeight="1">
      <c r="A52" s="12" t="inlineStr">
        <is>
          <t>M2</t>
        </is>
      </c>
      <c r="B52" s="12" t="n">
        <v>3</v>
      </c>
      <c r="C52" s="19" t="inlineStr">
        <is>
          <t>M. 财务管理</t>
        </is>
      </c>
      <c r="D52" s="4" t="inlineStr">
        <is>
          <t>账单</t>
        </is>
      </c>
      <c r="E52" s="4" t="inlineStr">
        <is>
          <t>账单明细</t>
        </is>
      </c>
      <c r="F52" s="12" t="inlineStr">
        <is>
          <t>前端开发</t>
        </is>
      </c>
      <c r="G52" s="20" t="n">
        <v>0.4</v>
      </c>
      <c r="H52" s="14">
        <f>VLOOKUP(F52,'3.后台模块'!$E$75:$F$78,2,FALSE)</f>
        <v/>
      </c>
      <c r="I52" s="14">
        <f>G52*H52</f>
        <v/>
      </c>
    </row>
    <row r="53" ht="18" customHeight="1">
      <c r="A53" s="12" t="inlineStr">
        <is>
          <t>M3</t>
        </is>
      </c>
      <c r="B53" s="12" t="n">
        <v>3</v>
      </c>
      <c r="C53" s="19" t="inlineStr">
        <is>
          <t>M. 财务管理</t>
        </is>
      </c>
      <c r="D53" s="4" t="inlineStr">
        <is>
          <t>账单</t>
        </is>
      </c>
      <c r="E53" s="4" t="inlineStr">
        <is>
          <t>对账与结算状态</t>
        </is>
      </c>
      <c r="F53" s="12" t="inlineStr">
        <is>
          <t>前端开发</t>
        </is>
      </c>
      <c r="G53" s="20" t="n">
        <v>0.4</v>
      </c>
      <c r="H53" s="14">
        <f>VLOOKUP(F53,'3.后台模块'!$E$75:$F$78,2,FALSE)</f>
        <v/>
      </c>
      <c r="I53" s="14">
        <f>G53*H53</f>
        <v/>
      </c>
    </row>
    <row r="54" ht="18" customHeight="1">
      <c r="A54" s="12" t="inlineStr">
        <is>
          <t>M4</t>
        </is>
      </c>
      <c r="B54" s="12" t="n">
        <v>3</v>
      </c>
      <c r="C54" s="19" t="inlineStr">
        <is>
          <t>M. 财务管理</t>
        </is>
      </c>
      <c r="D54" s="4" t="inlineStr">
        <is>
          <t>资金流水</t>
        </is>
      </c>
      <c r="E54" s="4" t="inlineStr">
        <is>
          <t>收支明细查询</t>
        </is>
      </c>
      <c r="F54" s="12" t="inlineStr">
        <is>
          <t>前端开发</t>
        </is>
      </c>
      <c r="G54" s="20" t="n">
        <v>0.4</v>
      </c>
      <c r="H54" s="14">
        <f>VLOOKUP(F54,'3.后台模块'!$E$75:$F$78,2,FALSE)</f>
        <v/>
      </c>
      <c r="I54" s="14">
        <f>G54*H54</f>
        <v/>
      </c>
    </row>
    <row r="55" ht="18" customHeight="1">
      <c r="A55" s="12" t="inlineStr">
        <is>
          <t>M5</t>
        </is>
      </c>
      <c r="B55" s="12" t="n">
        <v>3</v>
      </c>
      <c r="C55" s="19" t="inlineStr">
        <is>
          <t>M. 财务管理</t>
        </is>
      </c>
      <c r="D55" s="4" t="inlineStr">
        <is>
          <t>资金流水</t>
        </is>
      </c>
      <c r="E55" s="4" t="inlineStr">
        <is>
          <t>提现申请与审批</t>
        </is>
      </c>
      <c r="F55" s="12" t="inlineStr">
        <is>
          <t>前端开发</t>
        </is>
      </c>
      <c r="G55" s="20" t="n">
        <v>0.3</v>
      </c>
      <c r="H55" s="14">
        <f>VLOOKUP(F55,'3.后台模块'!$E$75:$F$78,2,FALSE)</f>
        <v/>
      </c>
      <c r="I55" s="14">
        <f>G55*H55</f>
        <v/>
      </c>
    </row>
    <row r="56" ht="18" customHeight="1">
      <c r="A56" s="12" t="inlineStr">
        <is>
          <t>N1</t>
        </is>
      </c>
      <c r="B56" s="12" t="n">
        <v>3</v>
      </c>
      <c r="C56" s="19" t="inlineStr">
        <is>
          <t>N. 系统配置</t>
        </is>
      </c>
      <c r="D56" s="4" t="inlineStr">
        <is>
          <t>全局参数</t>
        </is>
      </c>
      <c r="E56" s="4" t="inlineStr">
        <is>
          <t>基础参数配置</t>
        </is>
      </c>
      <c r="F56" s="12" t="inlineStr">
        <is>
          <t>前端开发</t>
        </is>
      </c>
      <c r="G56" s="20" t="n">
        <v>0.4</v>
      </c>
      <c r="H56" s="14">
        <f>VLOOKUP(F56,'3.后台模块'!$E$75:$F$78,2,FALSE)</f>
        <v/>
      </c>
      <c r="I56" s="14">
        <f>G56*H56</f>
        <v/>
      </c>
    </row>
    <row r="57" ht="18" customHeight="1">
      <c r="A57" s="12" t="inlineStr">
        <is>
          <t>N2</t>
        </is>
      </c>
      <c r="B57" s="12" t="n">
        <v>3</v>
      </c>
      <c r="C57" s="19" t="inlineStr">
        <is>
          <t>N. 系统配置</t>
        </is>
      </c>
      <c r="D57" s="4" t="inlineStr">
        <is>
          <t>全局参数</t>
        </is>
      </c>
      <c r="E57" s="4" t="inlineStr">
        <is>
          <t>运费 / 起送价规则</t>
        </is>
      </c>
      <c r="F57" s="12" t="inlineStr">
        <is>
          <t>前端开发</t>
        </is>
      </c>
      <c r="G57" s="20" t="n">
        <v>0.4</v>
      </c>
      <c r="H57" s="14">
        <f>VLOOKUP(F57,'3.后台模块'!$E$75:$F$78,2,FALSE)</f>
        <v/>
      </c>
      <c r="I57" s="14">
        <f>G57*H57</f>
        <v/>
      </c>
    </row>
    <row r="58" ht="18" customHeight="1">
      <c r="A58" s="12" t="inlineStr">
        <is>
          <t>N3</t>
        </is>
      </c>
      <c r="B58" s="12" t="n">
        <v>3</v>
      </c>
      <c r="C58" s="19" t="inlineStr">
        <is>
          <t>N. 系统配置</t>
        </is>
      </c>
      <c r="D58" s="4" t="inlineStr">
        <is>
          <t>C 端内容装修</t>
        </is>
      </c>
      <c r="E58" s="4" t="inlineStr">
        <is>
          <t>Banner 主副标题</t>
        </is>
      </c>
      <c r="F58" s="12" t="inlineStr">
        <is>
          <t>前端开发</t>
        </is>
      </c>
      <c r="G58" s="20" t="n">
        <v>0.3</v>
      </c>
      <c r="H58" s="14">
        <f>VLOOKUP(F58,'3.后台模块'!$E$75:$F$78,2,FALSE)</f>
        <v/>
      </c>
      <c r="I58" s="14">
        <f>G58*H58</f>
        <v/>
      </c>
    </row>
    <row r="59" ht="18" customHeight="1">
      <c r="A59" s="12" t="inlineStr">
        <is>
          <t>N4</t>
        </is>
      </c>
      <c r="B59" s="12" t="n">
        <v>3</v>
      </c>
      <c r="C59" s="19" t="inlineStr">
        <is>
          <t>N. 系统配置</t>
        </is>
      </c>
      <c r="D59" s="4" t="inlineStr">
        <is>
          <t>C 端内容装修</t>
        </is>
      </c>
      <c r="E59" s="4" t="inlineStr">
        <is>
          <t>背景图上传 Base64</t>
        </is>
      </c>
      <c r="F59" s="12" t="inlineStr">
        <is>
          <t>前端开发</t>
        </is>
      </c>
      <c r="G59" s="20" t="n">
        <v>0.4</v>
      </c>
      <c r="H59" s="14">
        <f>VLOOKUP(F59,'3.后台模块'!$E$75:$F$78,2,FALSE)</f>
        <v/>
      </c>
      <c r="I59" s="14">
        <f>G59*H59</f>
        <v/>
      </c>
    </row>
    <row r="60" ht="18" customHeight="1">
      <c r="A60" s="12" t="inlineStr">
        <is>
          <t>N5</t>
        </is>
      </c>
      <c r="B60" s="12" t="n">
        <v>3</v>
      </c>
      <c r="C60" s="19" t="inlineStr">
        <is>
          <t>N. 系统配置</t>
        </is>
      </c>
      <c r="D60" s="4" t="inlineStr">
        <is>
          <t>C 端内容装修</t>
        </is>
      </c>
      <c r="E60" s="4" t="inlineStr">
        <is>
          <t>所见即所得预览</t>
        </is>
      </c>
      <c r="F60" s="12" t="inlineStr">
        <is>
          <t>前端开发</t>
        </is>
      </c>
      <c r="G60" s="20" t="n">
        <v>0.4</v>
      </c>
      <c r="H60" s="14">
        <f>VLOOKUP(F60,'3.后台模块'!$E$75:$F$78,2,FALSE)</f>
        <v/>
      </c>
      <c r="I60" s="14">
        <f>G60*H60</f>
        <v/>
      </c>
    </row>
    <row r="61" ht="18" customHeight="1">
      <c r="A61" s="12" t="inlineStr">
        <is>
          <t>N6</t>
        </is>
      </c>
      <c r="B61" s="12" t="n">
        <v>3</v>
      </c>
      <c r="C61" s="19" t="inlineStr">
        <is>
          <t>N. 系统配置</t>
        </is>
      </c>
      <c r="D61" s="4" t="inlineStr">
        <is>
          <t>C 端内容装修</t>
        </is>
      </c>
      <c r="E61" s="4" t="inlineStr">
        <is>
          <t>双端 storage 实时同步</t>
        </is>
      </c>
      <c r="F61" s="12" t="inlineStr">
        <is>
          <t>前端开发</t>
        </is>
      </c>
      <c r="G61" s="20" t="n">
        <v>0.8</v>
      </c>
      <c r="H61" s="14">
        <f>VLOOKUP(F61,'3.后台模块'!$E$75:$F$78,2,FALSE)</f>
        <v/>
      </c>
      <c r="I61" s="14">
        <f>G61*H61</f>
        <v/>
      </c>
    </row>
    <row r="62" ht="18" customHeight="1">
      <c r="A62" s="12" t="inlineStr">
        <is>
          <t>N7</t>
        </is>
      </c>
      <c r="B62" s="12" t="n">
        <v>3</v>
      </c>
      <c r="C62" s="19" t="inlineStr">
        <is>
          <t>N. 系统配置</t>
        </is>
      </c>
      <c r="D62" s="4" t="inlineStr">
        <is>
          <t>C 端内容装修</t>
        </is>
      </c>
      <c r="E62" s="4" t="inlineStr">
        <is>
          <t>装修主题视觉设计</t>
        </is>
      </c>
      <c r="F62" s="12" t="inlineStr">
        <is>
          <t>UI 设计师</t>
        </is>
      </c>
      <c r="G62" s="20" t="n">
        <v>0.5</v>
      </c>
      <c r="H62" s="14">
        <f>VLOOKUP(F62,'3.后台模块'!$E$75:$F$78,2,FALSE)</f>
        <v/>
      </c>
      <c r="I62" s="14">
        <f>G62*H62</f>
        <v/>
      </c>
    </row>
    <row r="63" ht="18" customHeight="1">
      <c r="A63" s="12" t="inlineStr">
        <is>
          <t>N8</t>
        </is>
      </c>
      <c r="B63" s="12" t="n">
        <v>3</v>
      </c>
      <c r="C63" s="19" t="inlineStr">
        <is>
          <t>N. 系统配置</t>
        </is>
      </c>
      <c r="D63" s="4" t="inlineStr">
        <is>
          <t>地区运营账号</t>
        </is>
      </c>
      <c r="E63" s="4" t="inlineStr">
        <is>
          <t>账号列表</t>
        </is>
      </c>
      <c r="F63" s="12" t="inlineStr">
        <is>
          <t>前端开发</t>
        </is>
      </c>
      <c r="G63" s="20" t="n">
        <v>0.4</v>
      </c>
      <c r="H63" s="14">
        <f>VLOOKUP(F63,'3.后台模块'!$E$75:$F$78,2,FALSE)</f>
        <v/>
      </c>
      <c r="I63" s="14">
        <f>G63*H63</f>
        <v/>
      </c>
    </row>
    <row r="64" ht="18" customHeight="1">
      <c r="A64" s="12" t="inlineStr">
        <is>
          <t>N9</t>
        </is>
      </c>
      <c r="B64" s="12" t="n">
        <v>3</v>
      </c>
      <c r="C64" s="19" t="inlineStr">
        <is>
          <t>N. 系统配置</t>
        </is>
      </c>
      <c r="D64" s="4" t="inlineStr">
        <is>
          <t>地区运营账号</t>
        </is>
      </c>
      <c r="E64" s="4" t="inlineStr">
        <is>
          <t>角色与权限分配</t>
        </is>
      </c>
      <c r="F64" s="12" t="inlineStr">
        <is>
          <t>前端开发</t>
        </is>
      </c>
      <c r="G64" s="20" t="n">
        <v>0.4</v>
      </c>
      <c r="H64" s="14">
        <f>VLOOKUP(F64,'3.后台模块'!$E$75:$F$78,2,FALSE)</f>
        <v/>
      </c>
      <c r="I64" s="14">
        <f>G64*H64</f>
        <v/>
      </c>
    </row>
    <row r="65" ht="18" customHeight="1">
      <c r="A65" s="12" t="inlineStr">
        <is>
          <t>O1</t>
        </is>
      </c>
      <c r="B65" s="12" t="n">
        <v>3</v>
      </c>
      <c r="C65" s="19" t="inlineStr">
        <is>
          <t>O. 公共 Shell</t>
        </is>
      </c>
      <c r="D65" s="4" t="inlineStr">
        <is>
          <t>框架</t>
        </is>
      </c>
      <c r="E65" s="4" t="inlineStr">
        <is>
          <t>路由 / 菜单配置</t>
        </is>
      </c>
      <c r="F65" s="12" t="inlineStr">
        <is>
          <t>前端开发</t>
        </is>
      </c>
      <c r="G65" s="20" t="n">
        <v>0.5</v>
      </c>
      <c r="H65" s="14">
        <f>VLOOKUP(F65,'3.后台模块'!$E$75:$F$78,2,FALSE)</f>
        <v/>
      </c>
      <c r="I65" s="14">
        <f>G65*H65</f>
        <v/>
      </c>
    </row>
    <row r="66" ht="18" customHeight="1">
      <c r="A66" s="12" t="inlineStr">
        <is>
          <t>O2</t>
        </is>
      </c>
      <c r="B66" s="12" t="n">
        <v>3</v>
      </c>
      <c r="C66" s="19" t="inlineStr">
        <is>
          <t>O. 公共 Shell</t>
        </is>
      </c>
      <c r="D66" s="4" t="inlineStr">
        <is>
          <t>框架</t>
        </is>
      </c>
      <c r="E66" s="4" t="inlineStr">
        <is>
          <t>主布局 / 面包屑 / 顶栏</t>
        </is>
      </c>
      <c r="F66" s="12" t="inlineStr">
        <is>
          <t>前端开发</t>
        </is>
      </c>
      <c r="G66" s="20" t="n">
        <v>0.5</v>
      </c>
      <c r="H66" s="14">
        <f>VLOOKUP(F66,'3.后台模块'!$E$75:$F$78,2,FALSE)</f>
        <v/>
      </c>
      <c r="I66" s="14">
        <f>G66*H66</f>
        <v/>
      </c>
    </row>
    <row r="67" ht="18" customHeight="1">
      <c r="A67" s="12" t="inlineStr">
        <is>
          <t>O3</t>
        </is>
      </c>
      <c r="B67" s="12" t="n">
        <v>3</v>
      </c>
      <c r="C67" s="19" t="inlineStr">
        <is>
          <t>O. 公共 Shell</t>
        </is>
      </c>
      <c r="D67" s="4" t="inlineStr">
        <is>
          <t>框架</t>
        </is>
      </c>
      <c r="E67" s="4" t="inlineStr">
        <is>
          <t>主题样式（Element Plus）</t>
        </is>
      </c>
      <c r="F67" s="12" t="inlineStr">
        <is>
          <t>UI 设计师</t>
        </is>
      </c>
      <c r="G67" s="20" t="n">
        <v>0.4</v>
      </c>
      <c r="H67" s="14">
        <f>VLOOKUP(F67,'3.后台模块'!$E$75:$F$78,2,FALSE)</f>
        <v/>
      </c>
      <c r="I67" s="14">
        <f>G67*H67</f>
        <v/>
      </c>
    </row>
    <row r="68" ht="18" customHeight="1">
      <c r="A68" s="12" t="inlineStr">
        <is>
          <t>O4</t>
        </is>
      </c>
      <c r="B68" s="12" t="n">
        <v>3</v>
      </c>
      <c r="C68" s="19" t="inlineStr">
        <is>
          <t>O. 公共 Shell</t>
        </is>
      </c>
      <c r="D68" s="4" t="inlineStr">
        <is>
          <t>通用能力</t>
        </is>
      </c>
      <c r="E68" s="4" t="inlineStr">
        <is>
          <t>表格 / 表单 / 分页组件</t>
        </is>
      </c>
      <c r="F68" s="12" t="inlineStr">
        <is>
          <t>前端开发</t>
        </is>
      </c>
      <c r="G68" s="20" t="n">
        <v>0.6</v>
      </c>
      <c r="H68" s="14">
        <f>VLOOKUP(F68,'3.后台模块'!$E$75:$F$78,2,FALSE)</f>
        <v/>
      </c>
      <c r="I68" s="14">
        <f>G68*H68</f>
        <v/>
      </c>
    </row>
    <row r="69" ht="18" customHeight="1">
      <c r="A69" s="12" t="inlineStr">
        <is>
          <t>O5</t>
        </is>
      </c>
      <c r="B69" s="12" t="n">
        <v>3</v>
      </c>
      <c r="C69" s="19" t="inlineStr">
        <is>
          <t>O. 公共 Shell</t>
        </is>
      </c>
      <c r="D69" s="4" t="inlineStr">
        <is>
          <t>通用能力</t>
        </is>
      </c>
      <c r="E69" s="4" t="inlineStr">
        <is>
          <t>上传 / 导出工具</t>
        </is>
      </c>
      <c r="F69" s="12" t="inlineStr">
        <is>
          <t>前端开发</t>
        </is>
      </c>
      <c r="G69" s="20" t="n">
        <v>0.5</v>
      </c>
      <c r="H69" s="14">
        <f>VLOOKUP(F69,'3.后台模块'!$E$75:$F$78,2,FALSE)</f>
        <v/>
      </c>
      <c r="I69" s="14">
        <f>G69*H69</f>
        <v/>
      </c>
    </row>
    <row r="70" ht="18" customHeight="1">
      <c r="A70" s="12" t="inlineStr">
        <is>
          <t>O6</t>
        </is>
      </c>
      <c r="B70" s="12" t="n">
        <v>3</v>
      </c>
      <c r="C70" s="19" t="inlineStr">
        <is>
          <t>O. 公共 Shell</t>
        </is>
      </c>
      <c r="D70" s="4" t="inlineStr">
        <is>
          <t>通用能力</t>
        </is>
      </c>
      <c r="E70" s="4" t="inlineStr">
        <is>
          <t>全局错误处理 / 日志</t>
        </is>
      </c>
      <c r="F70" s="12" t="inlineStr">
        <is>
          <t>前端开发</t>
        </is>
      </c>
      <c r="G70" s="20" t="n">
        <v>0.5</v>
      </c>
      <c r="H70" s="14">
        <f>VLOOKUP(F70,'3.后台模块'!$E$75:$F$78,2,FALSE)</f>
        <v/>
      </c>
      <c r="I70" s="14">
        <f>G70*H70</f>
        <v/>
      </c>
    </row>
    <row r="71" ht="26" customHeight="1">
      <c r="A71" s="7" t="inlineStr">
        <is>
          <t>合计</t>
        </is>
      </c>
      <c r="B71" s="7" t="n"/>
      <c r="C71" s="7" t="n"/>
      <c r="D71" s="7" t="n"/>
      <c r="E71" s="7" t="n"/>
      <c r="F71" s="7" t="n"/>
      <c r="G71" s="8">
        <f>SUM(G4:G70)</f>
        <v/>
      </c>
      <c r="H71" s="9">
        <f>IFERROR(I71/G71,0)</f>
        <v/>
      </c>
      <c r="I71" s="9">
        <f>SUM(I4:I70)</f>
        <v/>
      </c>
    </row>
    <row r="73">
      <c r="E73" s="10" t="inlineStr">
        <is>
          <t>角色单价比照表</t>
        </is>
      </c>
    </row>
    <row r="74">
      <c r="E74" s="3" t="inlineStr">
        <is>
          <t>角色</t>
        </is>
      </c>
      <c r="F74" s="3" t="inlineStr">
        <is>
          <t>元/人天</t>
        </is>
      </c>
    </row>
    <row r="75">
      <c r="E75" s="21" t="inlineStr">
        <is>
          <t>前端开发</t>
        </is>
      </c>
      <c r="F75" s="11" t="n">
        <v>1300</v>
      </c>
    </row>
    <row r="76">
      <c r="E76" s="21" t="inlineStr">
        <is>
          <t>小程序开发</t>
        </is>
      </c>
      <c r="F76" s="11" t="n">
        <v>1300</v>
      </c>
    </row>
    <row r="77">
      <c r="E77" s="21" t="inlineStr">
        <is>
          <t>UI 设计师</t>
        </is>
      </c>
      <c r="F77" s="11" t="n">
        <v>1000</v>
      </c>
    </row>
    <row r="78">
      <c r="E78" s="21" t="inlineStr">
        <is>
          <t>测试工程师</t>
        </is>
      </c>
      <c r="F78" s="11" t="n">
        <v>900</v>
      </c>
    </row>
  </sheetData>
  <mergeCells count="3">
    <mergeCell ref="A1:I1"/>
    <mergeCell ref="E73:F73"/>
    <mergeCell ref="A71:F7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4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0" customWidth="1" min="3" max="3"/>
  </cols>
  <sheetData>
    <row r="2" ht="30" customHeight="1">
      <c r="B2" s="1" t="inlineStr">
        <is>
          <t>体彩衍生品商城 — 报价说明</t>
        </is>
      </c>
    </row>
    <row r="4" ht="22" customHeight="1">
      <c r="B4" s="22" t="inlineStr">
        <is>
          <t>1. 项目范围</t>
        </is>
      </c>
      <c r="C4" s="23" t="inlineStr"/>
    </row>
    <row r="5" ht="30" customHeight="1">
      <c r="B5" s="24" t="inlineStr"/>
      <c r="C5" s="4" t="inlineStr">
        <is>
          <t>• 本次报价覆盖 C 端小程序（UniApp + Vue 3 + Pinia）与运营管理后台（Vue 3 + Vite + Element Plus）的完整前端开发工作。</t>
        </is>
      </c>
    </row>
    <row r="6" ht="30" customHeight="1">
      <c r="B6" s="24" t="inlineStr"/>
      <c r="C6" s="4" t="inlineStr">
        <is>
          <t>• 后端服务（Spring Boot 3.2 + MyBatis Plus + MySQL + Redis）按现有代码基础进行联调与对接。</t>
        </is>
      </c>
    </row>
    <row r="7" ht="22" customHeight="1">
      <c r="B7" s="22" t="inlineStr">
        <is>
          <t>2. 计价方式</t>
        </is>
      </c>
      <c r="C7" s="23" t="inlineStr"/>
    </row>
    <row r="8" ht="30" customHeight="1">
      <c r="B8" s="24" t="inlineStr"/>
      <c r="C8" s="4" t="inlineStr">
        <is>
          <t>• 按三级功能模块逐项核算：每个三级模块给出工时（人天），按角色单价折算金额。</t>
        </is>
      </c>
    </row>
    <row r="9" ht="30" customHeight="1">
      <c r="B9" s="24" t="inlineStr"/>
      <c r="C9" s="4" t="inlineStr">
        <is>
          <t>• 一级、二级小计使用 SUMIF 公式对三级模块自动汇总。</t>
        </is>
      </c>
    </row>
    <row r="10" ht="30" customHeight="1">
      <c r="B10" s="24" t="inlineStr"/>
      <c r="C10" s="4" t="inlineStr">
        <is>
          <t>• 总计 = C 端小计 + 后台小计；项目总价 = 总计 × (1 + 13% 增值税)。</t>
        </is>
      </c>
    </row>
    <row r="11" ht="22" customHeight="1">
      <c r="B11" s="22" t="inlineStr">
        <is>
          <t>3. 角色单价依据</t>
        </is>
      </c>
      <c r="C11" s="23" t="inlineStr"/>
    </row>
    <row r="12" ht="30" customHeight="1">
      <c r="B12" s="24" t="inlineStr"/>
      <c r="C12" s="4" t="inlineStr">
        <is>
          <t>• 前端开发 1300 元/人天：参照 2026 年中国中端市场前端工程师外包均价。</t>
        </is>
      </c>
    </row>
    <row r="13" ht="30" customHeight="1">
      <c r="B13" s="24" t="inlineStr"/>
      <c r="C13" s="4" t="inlineStr">
        <is>
          <t>• UI 设计师 1000 元/人天：参照中级 UI 设计师外包均价。</t>
        </is>
      </c>
    </row>
    <row r="14" ht="30" customHeight="1">
      <c r="B14" s="24" t="inlineStr"/>
      <c r="C14" s="4" t="inlineStr">
        <is>
          <t>• 单价可在「1.报价汇总」右下角或各模块表底部「角色单价比照表」中调整。</t>
        </is>
      </c>
    </row>
    <row r="15" ht="22" customHeight="1">
      <c r="B15" s="22" t="inlineStr">
        <is>
          <t>4. 工时估算依据</t>
        </is>
      </c>
      <c r="C15" s="23" t="inlineStr"/>
    </row>
    <row r="16" ht="30" customHeight="1">
      <c r="B16" s="24" t="inlineStr"/>
      <c r="C16" s="4" t="inlineStr">
        <is>
          <t>• 依据现有代码体量、UI 模拟器复杂度、业务流程深度综合评估。</t>
        </is>
      </c>
    </row>
    <row r="17" ht="30" customHeight="1">
      <c r="B17" s="24" t="inlineStr"/>
      <c r="C17" s="4" t="inlineStr">
        <is>
          <t>• C 端 13 页面 + 公共能力 ≈ 38 人天；后台 11 页面 + 公共 Shell ≈ 29 人天。</t>
        </is>
      </c>
    </row>
    <row r="18" ht="30" customHeight="1">
      <c r="B18" s="24" t="inlineStr"/>
      <c r="C18" s="4" t="inlineStr">
        <is>
          <t>• 含：基础页面、复杂交互（SKU 弹层、订单状态机、退款流程）、可视化配置（Banner 装修、双端同步）。</t>
        </is>
      </c>
    </row>
    <row r="19" ht="22" customHeight="1">
      <c r="B19" s="22" t="inlineStr">
        <is>
          <t>5. 包含项</t>
        </is>
      </c>
      <c r="C19" s="23" t="inlineStr"/>
    </row>
    <row r="20" ht="30" customHeight="1">
      <c r="B20" s="24" t="inlineStr"/>
      <c r="C20" s="4" t="inlineStr">
        <is>
          <t>• 全部三级模块对应的源代码、组件库封装。</t>
        </is>
      </c>
    </row>
    <row r="21" ht="30" customHeight="1">
      <c r="B21" s="24" t="inlineStr"/>
      <c r="C21" s="4" t="inlineStr">
        <is>
          <t>• 与后端接口联调、Mock 数据、接口文档（Swagger 注释）。</t>
        </is>
      </c>
    </row>
    <row r="22" ht="30" customHeight="1">
      <c r="B22" s="24" t="inlineStr"/>
      <c r="C22" s="4" t="inlineStr">
        <is>
          <t>• PRD、数据库设计、测试用例、部署文档（基于现有项目文档）。</t>
        </is>
      </c>
    </row>
    <row r="23" ht="30" customHeight="1">
      <c r="B23" s="24" t="inlineStr"/>
      <c r="C23" s="4" t="inlineStr">
        <is>
          <t>• 上线前 2 周问题修复与上线后 3 个月质保。</t>
        </is>
      </c>
    </row>
    <row r="24" ht="22" customHeight="1">
      <c r="B24" s="22" t="inlineStr">
        <is>
          <t>6. 不包含项</t>
        </is>
      </c>
      <c r="C24" s="23" t="inlineStr"/>
    </row>
    <row r="25" ht="30" customHeight="1">
      <c r="B25" s="24" t="inlineStr"/>
      <c r="C25" s="4" t="inlineStr">
        <is>
          <t>• 服务器、域名、SSL 证书、短信通道、微信支付通道年费。</t>
        </is>
      </c>
    </row>
    <row r="26" ht="30" customHeight="1">
      <c r="B26" s="24" t="inlineStr"/>
      <c r="C26" s="4" t="inlineStr">
        <is>
          <t>• 第三方素材版权采购（图片、字体、图标库）。</t>
        </is>
      </c>
    </row>
    <row r="27" ht="30" customHeight="1">
      <c r="B27" s="24" t="inlineStr"/>
      <c r="C27" s="4" t="inlineStr">
        <is>
          <t>• 运营数据初始化、客服培训、推广物料设计。</t>
        </is>
      </c>
    </row>
    <row r="28" ht="30" customHeight="1">
      <c r="B28" s="24" t="inlineStr"/>
      <c r="C28" s="4" t="inlineStr">
        <is>
          <t>• 超过 3 个月的免费维护期。</t>
        </is>
      </c>
    </row>
    <row r="29" ht="22" customHeight="1">
      <c r="B29" s="22" t="inlineStr">
        <is>
          <t>7. 付款方式</t>
        </is>
      </c>
      <c r="C29" s="23" t="inlineStr"/>
    </row>
    <row r="30" ht="30" customHeight="1">
      <c r="B30" s="24" t="inlineStr"/>
      <c r="C30" s="4" t="inlineStr">
        <is>
          <t>• 30% 合同签订后 5 个工作日内支付（启动款）。</t>
        </is>
      </c>
    </row>
    <row r="31" ht="30" customHeight="1">
      <c r="B31" s="24" t="inlineStr"/>
      <c r="C31" s="4" t="inlineStr">
        <is>
          <t>• 40% 中期里程碑（核心模块完成并通过内部测试）验收后支付。</t>
        </is>
      </c>
    </row>
    <row r="32" ht="30" customHeight="1">
      <c r="B32" s="24" t="inlineStr"/>
      <c r="C32" s="4" t="inlineStr">
        <is>
          <t>• 25% 系统上线后 5 个工作日内支付。</t>
        </is>
      </c>
    </row>
    <row r="33" ht="30" customHeight="1">
      <c r="B33" s="24" t="inlineStr"/>
      <c r="C33" s="4" t="inlineStr">
        <is>
          <t>• 5% 质保金：上线 3 个月无重大问题后支付。</t>
        </is>
      </c>
    </row>
    <row r="34" ht="22" customHeight="1">
      <c r="B34" s="22" t="inlineStr">
        <is>
          <t>8. 风险与变更</t>
        </is>
      </c>
      <c r="C34" s="23" t="inlineStr"/>
    </row>
    <row r="35" ht="30" customHeight="1">
      <c r="B35" s="24" t="inlineStr"/>
      <c r="C35" s="4" t="inlineStr">
        <is>
          <t>• 需求变更：单次变更超过 5% 工作量时，按变更工作量单独核算。</t>
        </is>
      </c>
    </row>
    <row r="36" ht="30" customHeight="1">
      <c r="B36" s="24" t="inlineStr"/>
      <c r="C36" s="4" t="inlineStr">
        <is>
          <t>• 接口变更：后端接口字段调整超过 10 处时，按 0.5 人天/次补差。</t>
        </is>
      </c>
    </row>
    <row r="37" ht="30" customHeight="1">
      <c r="B37" s="24" t="inlineStr"/>
      <c r="C37" s="4" t="inlineStr">
        <is>
          <t>• 紧急加期：项目期间如需加急（&lt; 原周期 70%），加收 20% 费用。</t>
        </is>
      </c>
    </row>
    <row r="38" ht="22" customHeight="1">
      <c r="B38" s="22" t="inlineStr">
        <is>
          <t>9. 交付物清单</t>
        </is>
      </c>
      <c r="C38" s="23" t="inlineStr"/>
    </row>
    <row r="39" ht="30" customHeight="1">
      <c r="B39" s="24" t="inlineStr"/>
      <c r="C39" s="4" t="inlineStr">
        <is>
          <t>• C 端小程序源代码（UniApp 跨端工程）。</t>
        </is>
      </c>
    </row>
    <row r="40" ht="30" customHeight="1">
      <c r="B40" s="24" t="inlineStr"/>
      <c r="C40" s="4" t="inlineStr">
        <is>
          <t>• 后台管理系统源代码（Vue 3 + Vite + Element Plus）。</t>
        </is>
      </c>
    </row>
    <row r="41" ht="30" customHeight="1">
      <c r="B41" s="24" t="inlineStr"/>
      <c r="C41" s="4" t="inlineStr">
        <is>
          <t>• 公共组件库、API 封装、状态管理 Store。</t>
        </is>
      </c>
    </row>
    <row r="42" ht="30" customHeight="1">
      <c r="B42" s="24" t="inlineStr"/>
      <c r="C42" s="4" t="inlineStr">
        <is>
          <t>• 与现有后端联调的接口对接说明。</t>
        </is>
      </c>
    </row>
    <row r="43" ht="30" customHeight="1">
      <c r="B43" s="24" t="inlineStr"/>
      <c r="C43" s="4" t="inlineStr">
        <is>
          <t>• 测试用例文档、部署文档、操作手册。</t>
        </is>
      </c>
    </row>
    <row r="44" ht="22" customHeight="1">
      <c r="B44" s="22" t="inlineStr">
        <is>
          <t>10. 验收标准</t>
        </is>
      </c>
      <c r="C44" s="23" t="inlineStr"/>
    </row>
    <row r="45" ht="30" customHeight="1">
      <c r="B45" s="24" t="inlineStr"/>
      <c r="C45" s="4" t="inlineStr">
        <is>
          <t>• 全部三级模块按 PRD 实现并通过测试用例。</t>
        </is>
      </c>
    </row>
    <row r="46" ht="30" customHeight="1">
      <c r="B46" s="24" t="inlineStr"/>
      <c r="C46" s="4" t="inlineStr">
        <is>
          <t>• 关键流程：登录、购物流程、订单生命周期、退款流程、Banner 装修双端同步。</t>
        </is>
      </c>
    </row>
    <row r="47" ht="30" customHeight="1">
      <c r="B47" s="24" t="inlineStr"/>
      <c r="C47" s="4" t="inlineStr">
        <is>
          <t>• 性能：首屏 &lt; 2s，交互响应 &lt; 300ms，兼容主流移动设备与浏览器。</t>
        </is>
      </c>
    </row>
    <row r="48" ht="30" customHeight="1">
      <c r="B48" s="24" t="inlineStr"/>
      <c r="C48" s="4" t="inlineStr">
        <is>
          <t>• 代码质量：通过 ESLint 静态检查，关键模块单元测试覆盖率 ≥ 60%。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2026-06-25T04:58:27Z</dcterms:created>
  <dcterms:modified xmlns:dcterms="http://purl.org/dc/terms/" xmlns:xsi="http://www.w3.org/2001/XMLSchema-instance" xsi:type="dcterms:W3CDTF">2026-06-25T04:58:27Z</dcterms:modified>
</cp:coreProperties>
</file>