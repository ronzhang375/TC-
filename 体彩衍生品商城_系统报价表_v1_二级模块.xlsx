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报价汇总" sheetId="1" state="visible" r:id="rId1"/>
    <sheet xmlns:r="http://schemas.openxmlformats.org/officeDocument/2006/relationships" name="2.C端小程序" sheetId="2" state="visible" r:id="rId2"/>
    <sheet xmlns:r="http://schemas.openxmlformats.org/officeDocument/2006/relationships" name="3.运营管理后台" sheetId="3" state="visible" r:id="rId3"/>
    <sheet xmlns:r="http://schemas.openxmlformats.org/officeDocument/2006/relationships" name="4.配套支撑" sheetId="4" state="visible" r:id="rId4"/>
    <sheet xmlns:r="http://schemas.openxmlformats.org/officeDocument/2006/relationships" name="5.报价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color rgb="001F4E79"/>
      <sz val="11"/>
    </font>
    <font>
      <name val="Arial"/>
      <color rgb="00008000"/>
      <sz val="10"/>
    </font>
    <font>
      <name val="Arial"/>
      <b val="1"/>
      <color rgb="00C00000"/>
      <sz val="11"/>
    </font>
    <font>
      <name val="Arial"/>
      <b val="1"/>
      <color rgb="00C00000"/>
      <sz val="13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FFFFCC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00999999"/>
      </left>
      <right style="thin">
        <color rgb="00999999"/>
      </right>
      <top style="medium">
        <color rgb="001F4E79"/>
      </top>
      <bottom style="medium">
        <color rgb="001F4E79"/>
      </bottom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/>
    </xf>
    <xf numFmtId="0" fontId="5" fillId="5" borderId="5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right" vertical="center"/>
    </xf>
    <xf numFmtId="3" fontId="8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164" fontId="3" fillId="10" borderId="1" applyAlignment="1" pivotButton="0" quotePrefix="0" xfId="0">
      <alignment horizontal="right" vertical="center"/>
    </xf>
    <xf numFmtId="3" fontId="9" fillId="10" borderId="1" applyAlignment="1" pivotButton="0" quotePrefix="0" xfId="0">
      <alignment horizontal="right" vertical="center"/>
    </xf>
    <xf numFmtId="0" fontId="0" fillId="10" borderId="1" pivotButton="0" quotePrefix="0" xfId="0"/>
    <xf numFmtId="0" fontId="3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3" fontId="4" fillId="0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left" vertical="center" wrapText="1"/>
    </xf>
    <xf numFmtId="3" fontId="10" fillId="10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6" fontId="6" fillId="6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0" customWidth="1" min="4" max="4"/>
    <col width="16" customWidth="1" min="5" max="5"/>
    <col width="4" customWidth="1" min="6" max="6"/>
    <col width="12" customWidth="1" min="7" max="7"/>
    <col width="32" customWidth="1" min="8" max="8"/>
    <col width="16" customWidth="1" min="10" max="10"/>
    <col width="10" customWidth="1" min="11" max="11"/>
  </cols>
  <sheetData>
    <row r="1" ht="32" customHeight="1">
      <c r="B1" s="1" t="inlineStr">
        <is>
          <t>体彩衍生品商城小程序 — 系统报价表</t>
        </is>
      </c>
    </row>
    <row r="2" ht="22" customHeight="1">
      <c r="B2" s="2" t="inlineStr">
        <is>
          <t>聚焦维度：C 端小程序 + 运营管理后台  ｜  计价单位：人民币（元）  ｜  增值税：13%</t>
        </is>
      </c>
    </row>
    <row r="4" ht="20" customHeight="1">
      <c r="B4" s="3" t="inlineStr">
        <is>
          <t>项目名称</t>
        </is>
      </c>
      <c r="C4" s="4" t="inlineStr">
        <is>
          <t>体彩衍生品商城小程序（UniApp C 端 + Vue3 运营管理后台）</t>
        </is>
      </c>
      <c r="J4" s="5" t="inlineStr">
        <is>
          <t>角色单价（蓝字可调）</t>
        </is>
      </c>
      <c r="K4" s="6" t="n"/>
    </row>
    <row r="5" ht="20" customHeight="1">
      <c r="B5" s="3" t="inlineStr">
        <is>
          <t>交付周期</t>
        </is>
      </c>
      <c r="C5" s="4" t="inlineStr">
        <is>
          <t>约 18 周（按里程碑推进）</t>
        </is>
      </c>
      <c r="J5" s="7" t="inlineStr">
        <is>
          <t>角色</t>
        </is>
      </c>
      <c r="K5" s="7" t="inlineStr">
        <is>
          <t>元/天</t>
        </is>
      </c>
    </row>
    <row r="6" ht="20" customHeight="1">
      <c r="B6" s="3" t="inlineStr">
        <is>
          <t>报价日期</t>
        </is>
      </c>
      <c r="C6" s="4" t="inlineStr">
        <is>
          <t>2026-06-25</t>
        </is>
      </c>
      <c r="J6" s="4" t="inlineStr">
        <is>
          <t>小程序开发工程师</t>
        </is>
      </c>
      <c r="K6" s="8" t="n">
        <v>1300</v>
      </c>
    </row>
    <row r="7" ht="20" customHeight="1">
      <c r="B7" s="3" t="inlineStr">
        <is>
          <t>计价方式</t>
        </is>
      </c>
      <c r="C7" s="4" t="inlineStr">
        <is>
          <t>人天计费（角色单价 × 实际工作量）；工作量按二级模块逐项核算</t>
        </is>
      </c>
      <c r="J7" s="4" t="inlineStr">
        <is>
          <t>前端开发工程师</t>
        </is>
      </c>
      <c r="K7" s="8" t="n">
        <v>1300</v>
      </c>
    </row>
    <row r="8">
      <c r="J8" s="4" t="inlineStr">
        <is>
          <t>后端开发工程师</t>
        </is>
      </c>
      <c r="K8" s="8" t="n">
        <v>1500</v>
      </c>
    </row>
    <row r="9" ht="24" customHeight="1">
      <c r="B9" s="9" t="inlineStr">
        <is>
          <t>维度 / 模块</t>
        </is>
      </c>
      <c r="C9" s="9" t="inlineStr">
        <is>
          <t>二级项数</t>
        </is>
      </c>
      <c r="D9" s="9" t="inlineStr">
        <is>
          <t>人天</t>
        </is>
      </c>
      <c r="E9" s="9" t="inlineStr">
        <is>
          <t>金额(元)</t>
        </is>
      </c>
      <c r="G9" s="9" t="inlineStr">
        <is>
          <t>占比</t>
        </is>
      </c>
      <c r="H9" s="9" t="inlineStr">
        <is>
          <t>说明</t>
        </is>
      </c>
      <c r="J9" s="4" t="inlineStr">
        <is>
          <t>UI 设计师</t>
        </is>
      </c>
      <c r="K9" s="8" t="n">
        <v>1000</v>
      </c>
    </row>
    <row r="10" ht="24" customHeight="1">
      <c r="B10" s="10" t="inlineStr">
        <is>
          <t>一、C 端小程序（UniApp + Vue 3）</t>
        </is>
      </c>
      <c r="C10" s="11" t="n">
        <v>17</v>
      </c>
      <c r="D10" s="12">
        <f>SUM('2.C端小程序'!E6:E22)</f>
        <v/>
      </c>
      <c r="E10" s="13">
        <f>SUM('2.C端小程序'!G6:G22)</f>
        <v/>
      </c>
      <c r="G10" s="14">
        <f>E10/$E$13</f>
        <v/>
      </c>
      <c r="H10" s="15" t="inlineStr">
        <is>
          <t>含 13 个核心页面 + UI 视觉升级 + 联调</t>
        </is>
      </c>
      <c r="J10" s="4" t="inlineStr">
        <is>
          <t>测试工程师</t>
        </is>
      </c>
      <c r="K10" s="8" t="n">
        <v>900</v>
      </c>
    </row>
    <row r="11" ht="24" customHeight="1">
      <c r="B11" s="16" t="inlineStr">
        <is>
          <t>二、运营管理后台（Vue 3 + Element Plus）</t>
        </is>
      </c>
      <c r="C11" s="17" t="n">
        <v>18</v>
      </c>
      <c r="D11" s="18">
        <f>SUM('3.运营管理后台'!E6:E23)</f>
        <v/>
      </c>
      <c r="E11" s="19">
        <f>SUM('3.运营管理后台'!G6:G23)</f>
        <v/>
      </c>
      <c r="G11" s="20">
        <f>E11/$E$13</f>
        <v/>
      </c>
      <c r="H11" s="21" t="inlineStr">
        <is>
          <t>含 11 个核心页面 + 系统配置双端同步 + 联调</t>
        </is>
      </c>
      <c r="J11" s="4" t="inlineStr">
        <is>
          <t>运维工程师</t>
        </is>
      </c>
      <c r="K11" s="8" t="n">
        <v>1200</v>
      </c>
    </row>
    <row r="12" ht="24" customHeight="1">
      <c r="B12" s="22" t="inlineStr">
        <is>
          <t>三、配套支撑（联调/测试/管理/部署）</t>
        </is>
      </c>
      <c r="C12" s="23" t="n">
        <v>4</v>
      </c>
      <c r="D12" s="24">
        <f>SUM('4.配套支撑'!F6:F9)</f>
        <v/>
      </c>
      <c r="E12" s="25">
        <f>SUM('4.配套支撑'!H6:H9)</f>
        <v/>
      </c>
      <c r="G12" s="26">
        <f>E12/$E$13</f>
        <v/>
      </c>
      <c r="H12" s="27" t="inlineStr">
        <is>
          <t>为双端交付所必需的最少支撑项</t>
        </is>
      </c>
      <c r="J12" s="4" t="inlineStr">
        <is>
          <t>项目经理</t>
        </is>
      </c>
      <c r="K12" s="8" t="n">
        <v>1500</v>
      </c>
    </row>
    <row r="13" ht="26" customHeight="1">
      <c r="B13" s="28" t="inlineStr">
        <is>
          <t>开发费用合计</t>
        </is>
      </c>
      <c r="C13" s="29">
        <f>C10+C11+C12</f>
        <v/>
      </c>
      <c r="D13" s="30">
        <f>D10+D11+D12</f>
        <v/>
      </c>
      <c r="E13" s="31">
        <f>E10+E11+E12</f>
        <v/>
      </c>
      <c r="F13" s="32" t="inlineStr"/>
      <c r="G13" s="33" t="inlineStr">
        <is>
          <t>100.0%</t>
        </is>
      </c>
      <c r="H13" s="34" t="inlineStr">
        <is>
          <t>税前</t>
        </is>
      </c>
      <c r="J13" s="4" t="inlineStr">
        <is>
          <t>架构师</t>
        </is>
      </c>
      <c r="K13" s="8" t="n">
        <v>2500</v>
      </c>
    </row>
    <row r="14" ht="20" customHeight="1">
      <c r="B14" s="35" t="inlineStr">
        <is>
          <t>增值税（13%）</t>
        </is>
      </c>
      <c r="C14" s="36" t="n"/>
      <c r="D14" s="6" t="n"/>
      <c r="E14" s="37">
        <f>E13*0.13</f>
        <v/>
      </c>
      <c r="H14" s="4" t="inlineStr">
        <is>
          <t>可按客户性质调整（如小规模纳税人 3%）</t>
        </is>
      </c>
    </row>
    <row r="15" ht="30" customHeight="1">
      <c r="B15" s="38" t="inlineStr">
        <is>
          <t>🟢 项目总价（含税）</t>
        </is>
      </c>
      <c r="C15" s="36" t="n"/>
      <c r="D15" s="6" t="n"/>
      <c r="E15" s="39">
        <f>E13+E14</f>
        <v/>
      </c>
      <c r="H15" s="40" t="inlineStr">
        <is>
          <t>人民币</t>
        </is>
      </c>
    </row>
    <row r="17" ht="20" customHeight="1">
      <c r="B17" s="41" t="inlineStr">
        <is>
          <t>维度占比速览</t>
        </is>
      </c>
      <c r="C17" s="36" t="n"/>
      <c r="D17" s="36" t="n"/>
      <c r="E17" s="36" t="n"/>
      <c r="F17" s="36" t="n"/>
      <c r="G17" s="36" t="n"/>
      <c r="H17" s="6" t="n"/>
    </row>
    <row r="18" ht="22" customHeight="1">
      <c r="B18" s="7" t="inlineStr">
        <is>
          <t>维度</t>
        </is>
      </c>
      <c r="C18" s="7" t="inlineStr">
        <is>
          <t>占比</t>
        </is>
      </c>
      <c r="D18" s="6" t="n"/>
      <c r="E18" s="7" t="inlineStr">
        <is>
          <t>可视化（■ ≈ 2%）</t>
        </is>
      </c>
      <c r="F18" s="36" t="n"/>
      <c r="G18" s="36" t="n"/>
      <c r="H18" s="6" t="n"/>
    </row>
    <row r="19">
      <c r="B19" s="4" t="inlineStr">
        <is>
          <t>C 端小程序</t>
        </is>
      </c>
      <c r="C19" s="42">
        <f>E10/$E$13</f>
        <v/>
      </c>
      <c r="D19" s="6" t="n"/>
      <c r="E19" s="4">
        <f>REPT("■",ROUND(E10/$E$13*50,0))</f>
        <v/>
      </c>
      <c r="F19" s="36" t="n"/>
      <c r="G19" s="36" t="n"/>
      <c r="H19" s="6" t="n"/>
    </row>
    <row r="20">
      <c r="B20" s="4" t="inlineStr">
        <is>
          <t>运营管理后台</t>
        </is>
      </c>
      <c r="C20" s="42">
        <f>E11/$E$13</f>
        <v/>
      </c>
      <c r="D20" s="6" t="n"/>
      <c r="E20" s="4">
        <f>REPT("■",ROUND(E11/$E$13*50,0))</f>
        <v/>
      </c>
      <c r="F20" s="36" t="n"/>
      <c r="G20" s="36" t="n"/>
      <c r="H20" s="6" t="n"/>
    </row>
    <row r="21">
      <c r="B21" s="4" t="inlineStr">
        <is>
          <t>配套支撑</t>
        </is>
      </c>
      <c r="C21" s="42">
        <f>E12/$E$13</f>
        <v/>
      </c>
      <c r="D21" s="6" t="n"/>
      <c r="E21" s="4">
        <f>REPT("■",ROUND(E12/$E$13*50,0))</f>
        <v/>
      </c>
      <c r="F21" s="36" t="n"/>
      <c r="G21" s="36" t="n"/>
      <c r="H21" s="6" t="n"/>
    </row>
    <row r="23" ht="48" customHeight="1">
      <c r="B23" s="43" t="inlineStr">
        <is>
          <t>说明：本表聚焦 C 端小程序与运营管理后台两个维度；后端服务（Spring Boot 13 模块）已开发完成，本报价仅按需投入联调工时，不重复计费；如需新增/调整后端模块，可按后端开发工程师 ¥1500/人天增算。</t>
        </is>
      </c>
      <c r="C23" s="36" t="n"/>
      <c r="D23" s="36" t="n"/>
      <c r="E23" s="36" t="n"/>
      <c r="F23" s="36" t="n"/>
      <c r="G23" s="36" t="n"/>
      <c r="H23" s="6" t="n"/>
    </row>
  </sheetData>
  <mergeCells count="21">
    <mergeCell ref="B14:D14"/>
    <mergeCell ref="C20:D20"/>
    <mergeCell ref="E18:H18"/>
    <mergeCell ref="F15:G15"/>
    <mergeCell ref="E21:H21"/>
    <mergeCell ref="B15:D15"/>
    <mergeCell ref="C7:H7"/>
    <mergeCell ref="J4:K4"/>
    <mergeCell ref="C21:D21"/>
    <mergeCell ref="E20:H20"/>
    <mergeCell ref="B2:H2"/>
    <mergeCell ref="E19:H19"/>
    <mergeCell ref="B23:H23"/>
    <mergeCell ref="C6:H6"/>
    <mergeCell ref="B17:H17"/>
    <mergeCell ref="B1:H1"/>
    <mergeCell ref="C5:H5"/>
    <mergeCell ref="C19:D19"/>
    <mergeCell ref="C4:H4"/>
    <mergeCell ref="F14:G14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4" customWidth="1" min="3" max="3"/>
    <col width="16" customWidth="1" min="4" max="4"/>
    <col width="10" customWidth="1" min="5" max="5"/>
    <col width="14" customWidth="1" min="6" max="6"/>
    <col width="14" customWidth="1" min="7" max="7"/>
    <col width="50" customWidth="1" min="8" max="8"/>
    <col width="16" customWidth="1" min="10" max="10"/>
    <col width="10" customWidth="1" min="11" max="11"/>
  </cols>
  <sheetData>
    <row r="1" ht="28" customHeight="1">
      <c r="B1" s="1" t="inlineStr">
        <is>
          <t>一、C 端小程序 — 功能模块清单（UniApp + Vue 3 + Pinia）</t>
        </is>
      </c>
    </row>
    <row r="2" ht="20" customHeight="1">
      <c r="B2" s="2" t="inlineStr">
        <is>
          <t>工作量按二级模块核算；蓝色单元格可调，金额 = 人天 × 角色单价（VLOOKUP）</t>
        </is>
      </c>
    </row>
    <row r="4">
      <c r="J4" s="5" t="inlineStr">
        <is>
          <t>角色单价（蓝字可调）</t>
        </is>
      </c>
      <c r="K4" s="6" t="n"/>
    </row>
    <row r="5" ht="24" customHeight="1">
      <c r="B5" s="9" t="inlineStr">
        <is>
          <t>序号</t>
        </is>
      </c>
      <c r="C5" s="9" t="inlineStr">
        <is>
          <t>二级模块</t>
        </is>
      </c>
      <c r="D5" s="9" t="inlineStr">
        <is>
          <t>角色</t>
        </is>
      </c>
      <c r="E5" s="9" t="inlineStr">
        <is>
          <t>人天</t>
        </is>
      </c>
      <c r="F5" s="9" t="inlineStr">
        <is>
          <t>单价(元/天)</t>
        </is>
      </c>
      <c r="G5" s="9" t="inlineStr">
        <is>
          <t>金额(元)</t>
        </is>
      </c>
      <c r="H5" s="9" t="inlineStr">
        <is>
          <t>功能说明</t>
        </is>
      </c>
      <c r="J5" s="7" t="inlineStr">
        <is>
          <t>角色</t>
        </is>
      </c>
      <c r="K5" s="7" t="inlineStr">
        <is>
          <t>元/天</t>
        </is>
      </c>
    </row>
    <row r="6" ht="32" customHeight="1">
      <c r="B6" s="44" t="inlineStr">
        <is>
          <t>1.1</t>
        </is>
      </c>
      <c r="C6" s="45" t="inlineStr">
        <is>
          <t>基础架构搭建</t>
        </is>
      </c>
      <c r="D6" s="4" t="inlineStr">
        <is>
          <t>小程序开发工程师</t>
        </is>
      </c>
      <c r="E6" s="46" t="n">
        <v>5</v>
      </c>
      <c r="F6" s="37">
        <f>VLOOKUP(D6,$J$6:$K$13,2,FALSE)</f>
        <v/>
      </c>
      <c r="G6" s="37">
        <f>E6*F6</f>
        <v/>
      </c>
      <c r="H6" s="4" t="inlineStr">
        <is>
          <t>UniApp + Vue 3 + Pinia 项目初始化、目录结构、路由、请求封装、Token 持久化、环境变量</t>
        </is>
      </c>
      <c r="J6" s="4" t="inlineStr">
        <is>
          <t>小程序开发工程师</t>
        </is>
      </c>
      <c r="K6" s="8" t="n">
        <v>1300</v>
      </c>
    </row>
    <row r="7" ht="32" customHeight="1">
      <c r="B7" s="44" t="inlineStr">
        <is>
          <t>1.2</t>
        </is>
      </c>
      <c r="C7" s="45" t="inlineStr">
        <is>
          <t>公共组件库</t>
        </is>
      </c>
      <c r="D7" s="4" t="inlineStr">
        <is>
          <t>小程序开发工程师</t>
        </is>
      </c>
      <c r="E7" s="46" t="n">
        <v>3</v>
      </c>
      <c r="F7" s="37">
        <f>VLOOKUP(D7,$J$6:$K$13,2,FALSE)</f>
        <v/>
      </c>
      <c r="G7" s="37">
        <f>E7*F7</f>
        <v/>
      </c>
      <c r="H7" s="4" t="inlineStr">
        <is>
          <t>商品卡片、加载/空状态、Toast、Modal、骨架屏、Tabbar 组件</t>
        </is>
      </c>
      <c r="J7" s="4" t="inlineStr">
        <is>
          <t>前端开发工程师</t>
        </is>
      </c>
      <c r="K7" s="8" t="n">
        <v>1300</v>
      </c>
    </row>
    <row r="8" ht="32" customHeight="1">
      <c r="B8" s="44" t="inlineStr">
        <is>
          <t>1.3</t>
        </is>
      </c>
      <c r="C8" s="45" t="inlineStr">
        <is>
          <t>首页</t>
        </is>
      </c>
      <c r="D8" s="4" t="inlineStr">
        <is>
          <t>小程序开发工程师</t>
        </is>
      </c>
      <c r="E8" s="46" t="n">
        <v>4</v>
      </c>
      <c r="F8" s="37">
        <f>VLOOKUP(D8,$J$6:$K$13,2,FALSE)</f>
        <v/>
      </c>
      <c r="G8" s="37">
        <f>E8*F8</f>
        <v/>
      </c>
      <c r="H8" s="4" t="inlineStr">
        <is>
          <t>轮播 Banner、分类网格、推荐商品流、活动位、Tabbar 切换</t>
        </is>
      </c>
      <c r="J8" s="4" t="inlineStr">
        <is>
          <t>后端开发工程师</t>
        </is>
      </c>
      <c r="K8" s="8" t="n">
        <v>1500</v>
      </c>
    </row>
    <row r="9" ht="32" customHeight="1">
      <c r="B9" s="44" t="inlineStr">
        <is>
          <t>1.4</t>
        </is>
      </c>
      <c r="C9" s="45" t="inlineStr">
        <is>
          <t>商品分类页</t>
        </is>
      </c>
      <c r="D9" s="4" t="inlineStr">
        <is>
          <t>小程序开发工程师</t>
        </is>
      </c>
      <c r="E9" s="46" t="n">
        <v>2</v>
      </c>
      <c r="F9" s="37">
        <f>VLOOKUP(D9,$J$6:$K$13,2,FALSE)</f>
        <v/>
      </c>
      <c r="G9" s="37">
        <f>E9*F9</f>
        <v/>
      </c>
      <c r="H9" s="4" t="inlineStr">
        <is>
          <t>左侧分类树、右侧商品列表、关键词搜索</t>
        </is>
      </c>
      <c r="J9" s="4" t="inlineStr">
        <is>
          <t>UI 设计师</t>
        </is>
      </c>
      <c r="K9" s="8" t="n">
        <v>1000</v>
      </c>
    </row>
    <row r="10" ht="32" customHeight="1">
      <c r="B10" s="44" t="inlineStr">
        <is>
          <t>1.5</t>
        </is>
      </c>
      <c r="C10" s="45" t="inlineStr">
        <is>
          <t>商品列表页</t>
        </is>
      </c>
      <c r="D10" s="4" t="inlineStr">
        <is>
          <t>小程序开发工程师</t>
        </is>
      </c>
      <c r="E10" s="46" t="n">
        <v>3</v>
      </c>
      <c r="F10" s="37">
        <f>VLOOKUP(D10,$J$6:$K$13,2,FALSE)</f>
        <v/>
      </c>
      <c r="G10" s="37">
        <f>E10*F10</f>
        <v/>
      </c>
      <c r="H10" s="4" t="inlineStr">
        <is>
          <t>筛选（价格/销量/综合）、排序、列表/网格切换、上拉加载</t>
        </is>
      </c>
      <c r="J10" s="4" t="inlineStr">
        <is>
          <t>测试工程师</t>
        </is>
      </c>
      <c r="K10" s="8" t="n">
        <v>900</v>
      </c>
    </row>
    <row r="11" ht="32" customHeight="1">
      <c r="B11" s="44" t="inlineStr">
        <is>
          <t>1.6</t>
        </is>
      </c>
      <c r="C11" s="45" t="inlineStr">
        <is>
          <t>商品详情页</t>
        </is>
      </c>
      <c r="D11" s="4" t="inlineStr">
        <is>
          <t>小程序开发工程师</t>
        </is>
      </c>
      <c r="E11" s="46" t="n">
        <v>3</v>
      </c>
      <c r="F11" s="37">
        <f>VLOOKUP(D11,$J$6:$K$13,2,FALSE)</f>
        <v/>
      </c>
      <c r="G11" s="37">
        <f>E11*F11</f>
        <v/>
      </c>
      <c r="H11" s="4" t="inlineStr">
        <is>
          <t>图片轮播、规格 SKU 选择、价格/库存、加购、推荐位</t>
        </is>
      </c>
      <c r="J11" s="4" t="inlineStr">
        <is>
          <t>运维工程师</t>
        </is>
      </c>
      <c r="K11" s="8" t="n">
        <v>1200</v>
      </c>
    </row>
    <row r="12" ht="32" customHeight="1">
      <c r="B12" s="44" t="inlineStr">
        <is>
          <t>1.7</t>
        </is>
      </c>
      <c r="C12" s="45" t="inlineStr">
        <is>
          <t>购物车页</t>
        </is>
      </c>
      <c r="D12" s="4" t="inlineStr">
        <is>
          <t>小程序开发工程师</t>
        </is>
      </c>
      <c r="E12" s="46" t="n">
        <v>3</v>
      </c>
      <c r="F12" s="37">
        <f>VLOOKUP(D12,$J$6:$K$13,2,FALSE)</f>
        <v/>
      </c>
      <c r="G12" s="37">
        <f>E12*F12</f>
        <v/>
      </c>
      <c r="H12" s="4" t="inlineStr">
        <is>
          <t>勾选、数量增减、删除、合计、置底结算栏固定（54px）、长列表完整滚动</t>
        </is>
      </c>
      <c r="J12" s="4" t="inlineStr">
        <is>
          <t>项目经理</t>
        </is>
      </c>
      <c r="K12" s="8" t="n">
        <v>1500</v>
      </c>
    </row>
    <row r="13" ht="32" customHeight="1">
      <c r="B13" s="44" t="inlineStr">
        <is>
          <t>1.8</t>
        </is>
      </c>
      <c r="C13" s="45" t="inlineStr">
        <is>
          <t>订单确认页</t>
        </is>
      </c>
      <c r="D13" s="4" t="inlineStr">
        <is>
          <t>小程序开发工程师</t>
        </is>
      </c>
      <c r="E13" s="46" t="n">
        <v>3</v>
      </c>
      <c r="F13" s="37">
        <f>VLOOKUP(D13,$J$6:$K$13,2,FALSE)</f>
        <v/>
      </c>
      <c r="G13" s="37">
        <f>E13*F13</f>
        <v/>
      </c>
      <c r="H13" s="4" t="inlineStr">
        <is>
          <t>地址选择、商品清单、备注、运费计算、提交订单</t>
        </is>
      </c>
      <c r="J13" s="4" t="inlineStr">
        <is>
          <t>架构师</t>
        </is>
      </c>
      <c r="K13" s="8" t="n">
        <v>2500</v>
      </c>
    </row>
    <row r="14" ht="32" customHeight="1">
      <c r="B14" s="44" t="inlineStr">
        <is>
          <t>1.9</t>
        </is>
      </c>
      <c r="C14" s="45" t="inlineStr">
        <is>
          <t>支付页</t>
        </is>
      </c>
      <c r="D14" s="4" t="inlineStr">
        <is>
          <t>小程序开发工程师</t>
        </is>
      </c>
      <c r="E14" s="46" t="n">
        <v>2</v>
      </c>
      <c r="F14" s="37">
        <f>VLOOKUP(D14,$J$6:$K$13,2,FALSE)</f>
        <v/>
      </c>
      <c r="G14" s="37">
        <f>E14*F14</f>
        <v/>
      </c>
      <c r="H14" s="4" t="inlineStr">
        <is>
          <t>微信支付模态框、支付结果、订单跳转</t>
        </is>
      </c>
    </row>
    <row r="15" ht="32" customHeight="1">
      <c r="B15" s="44" t="inlineStr">
        <is>
          <t>1.10</t>
        </is>
      </c>
      <c r="C15" s="45" t="inlineStr">
        <is>
          <t>订单列表页</t>
        </is>
      </c>
      <c r="D15" s="4" t="inlineStr">
        <is>
          <t>小程序开发工程师</t>
        </is>
      </c>
      <c r="E15" s="46" t="n">
        <v>2</v>
      </c>
      <c r="F15" s="37">
        <f>VLOOKUP(D15,$J$6:$K$13,2,FALSE)</f>
        <v/>
      </c>
      <c r="G15" s="37">
        <f>E15*F15</f>
        <v/>
      </c>
      <c r="H15" s="4" t="inlineStr">
        <is>
          <t>状态 Tab、订单卡片、状态时间线入口</t>
        </is>
      </c>
    </row>
    <row r="16" ht="32" customHeight="1">
      <c r="B16" s="44" t="inlineStr">
        <is>
          <t>1.11</t>
        </is>
      </c>
      <c r="C16" s="45" t="inlineStr">
        <is>
          <t>订单详情页</t>
        </is>
      </c>
      <c r="D16" s="4" t="inlineStr">
        <is>
          <t>小程序开发工程师</t>
        </is>
      </c>
      <c r="E16" s="46" t="n">
        <v>2</v>
      </c>
      <c r="F16" s="37">
        <f>VLOOKUP(D16,$J$6:$K$13,2,FALSE)</f>
        <v/>
      </c>
      <c r="G16" s="37">
        <f>E16*F16</f>
        <v/>
      </c>
      <c r="H16" s="4" t="inlineStr">
        <is>
          <t>状态时间线、物流跟踪、申请退款入口、再次购买</t>
        </is>
      </c>
    </row>
    <row r="17" ht="32" customHeight="1">
      <c r="B17" s="44" t="inlineStr">
        <is>
          <t>1.12</t>
        </is>
      </c>
      <c r="C17" s="45" t="inlineStr">
        <is>
          <t>退款申请页</t>
        </is>
      </c>
      <c r="D17" s="4" t="inlineStr">
        <is>
          <t>小程序开发工程师</t>
        </is>
      </c>
      <c r="E17" s="46" t="n">
        <v>2</v>
      </c>
      <c r="F17" s="37">
        <f>VLOOKUP(D17,$J$6:$K$13,2,FALSE)</f>
        <v/>
      </c>
      <c r="G17" s="37">
        <f>E17*F17</f>
        <v/>
      </c>
      <c r="H17" s="4" t="inlineStr">
        <is>
          <t>退款原因、金额、凭证图片上传、提交审核</t>
        </is>
      </c>
    </row>
    <row r="18" ht="32" customHeight="1">
      <c r="B18" s="44" t="inlineStr">
        <is>
          <t>1.13</t>
        </is>
      </c>
      <c r="C18" s="45" t="inlineStr">
        <is>
          <t>收货地址管理</t>
        </is>
      </c>
      <c r="D18" s="4" t="inlineStr">
        <is>
          <t>小程序开发工程师</t>
        </is>
      </c>
      <c r="E18" s="46" t="n">
        <v>2</v>
      </c>
      <c r="F18" s="37">
        <f>VLOOKUP(D18,$J$6:$K$13,2,FALSE)</f>
        <v/>
      </c>
      <c r="G18" s="37">
        <f>E18*F18</f>
        <v/>
      </c>
      <c r="H18" s="4" t="inlineStr">
        <is>
          <t>地址列表、新增/编辑、默认地址、删除、地区选择器</t>
        </is>
      </c>
    </row>
    <row r="19" ht="32" customHeight="1">
      <c r="B19" s="44" t="inlineStr">
        <is>
          <t>1.14</t>
        </is>
      </c>
      <c r="C19" s="45" t="inlineStr">
        <is>
          <t>个人中心</t>
        </is>
      </c>
      <c r="D19" s="4" t="inlineStr">
        <is>
          <t>小程序开发工程师</t>
        </is>
      </c>
      <c r="E19" s="46" t="n">
        <v>2</v>
      </c>
      <c r="F19" s="37">
        <f>VLOOKUP(D19,$J$6:$K$13,2,FALSE)</f>
        <v/>
      </c>
      <c r="G19" s="37">
        <f>E19*F19</f>
        <v/>
      </c>
      <c r="H19" s="4" t="inlineStr">
        <is>
          <t>用户信息、订单入口、设置、客服、关于</t>
        </is>
      </c>
    </row>
    <row r="20" ht="32" customHeight="1">
      <c r="B20" s="44" t="inlineStr">
        <is>
          <t>1.15</t>
        </is>
      </c>
      <c r="C20" s="45" t="inlineStr">
        <is>
          <t>登录/注册</t>
        </is>
      </c>
      <c r="D20" s="4" t="inlineStr">
        <is>
          <t>小程序开发工程师</t>
        </is>
      </c>
      <c r="E20" s="46" t="n">
        <v>2</v>
      </c>
      <c r="F20" s="37">
        <f>VLOOKUP(D20,$J$6:$K$13,2,FALSE)</f>
        <v/>
      </c>
      <c r="G20" s="37">
        <f>E20*F20</f>
        <v/>
      </c>
      <c r="H20" s="4" t="inlineStr">
        <is>
          <t>手机号验证码、微信一键授权、Token 存储与续签</t>
        </is>
      </c>
    </row>
    <row r="21" ht="32" customHeight="1">
      <c r="B21" s="44" t="inlineStr">
        <is>
          <t>1.16</t>
        </is>
      </c>
      <c r="C21" s="45" t="inlineStr">
        <is>
          <t>C 端 UI 视觉升级</t>
        </is>
      </c>
      <c r="D21" s="4" t="inlineStr">
        <is>
          <t>UI 设计师</t>
        </is>
      </c>
      <c r="E21" s="46" t="n">
        <v>5</v>
      </c>
      <c r="F21" s="37">
        <f>VLOOKUP(D21,$J$6:$K$13,2,FALSE)</f>
        <v/>
      </c>
      <c r="G21" s="37">
        <f>E21*F21</f>
        <v/>
      </c>
      <c r="H21" s="4" t="inlineStr">
        <is>
          <t>奶油玫瑰粉（#fb7185）主题、薄荷绿撞色、纯奶油底色（#fdfbf7）、字体与圆角规范、皮肤系统</t>
        </is>
      </c>
    </row>
    <row r="22" ht="32" customHeight="1">
      <c r="B22" s="44" t="inlineStr">
        <is>
          <t>1.17</t>
        </is>
      </c>
      <c r="C22" s="45" t="inlineStr">
        <is>
          <t>C 端联调与缺陷修复</t>
        </is>
      </c>
      <c r="D22" s="4" t="inlineStr">
        <is>
          <t>小程序开发工程师</t>
        </is>
      </c>
      <c r="E22" s="46" t="n">
        <v>5</v>
      </c>
      <c r="F22" s="37">
        <f>VLOOKUP(D22,$J$6:$K$13,2,FALSE)</f>
        <v/>
      </c>
      <c r="G22" s="37">
        <f>E22*F22</f>
        <v/>
      </c>
      <c r="H22" s="4" t="inlineStr">
        <is>
          <t>与后端接口联调、Bug 修复、兼容性测试（iOS/Android）、性能优化</t>
        </is>
      </c>
    </row>
    <row r="23" ht="24" customHeight="1">
      <c r="B23" s="29" t="inlineStr"/>
      <c r="C23" s="28" t="inlineStr">
        <is>
          <t>小计</t>
        </is>
      </c>
      <c r="D23" s="47" t="inlineStr"/>
      <c r="E23" s="48">
        <f>SUM(E6:E22)</f>
        <v/>
      </c>
      <c r="F23" s="47" t="inlineStr"/>
      <c r="G23" s="31">
        <f>SUM(G6:G22)</f>
        <v/>
      </c>
      <c r="H23" s="49" t="inlineStr">
        <is>
          <t>—</t>
        </is>
      </c>
    </row>
  </sheetData>
  <mergeCells count="3">
    <mergeCell ref="B1:H1"/>
    <mergeCell ref="J4:K4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4" customWidth="1" min="3" max="3"/>
    <col width="16" customWidth="1" min="4" max="4"/>
    <col width="10" customWidth="1" min="5" max="5"/>
    <col width="14" customWidth="1" min="6" max="6"/>
    <col width="14" customWidth="1" min="7" max="7"/>
    <col width="50" customWidth="1" min="8" max="8"/>
    <col width="16" customWidth="1" min="10" max="10"/>
    <col width="10" customWidth="1" min="11" max="11"/>
  </cols>
  <sheetData>
    <row r="1" ht="28" customHeight="1">
      <c r="B1" s="1" t="inlineStr">
        <is>
          <t>二、运营管理后台 — 功能模块清单（Vue 3 + Element Plus）</t>
        </is>
      </c>
    </row>
    <row r="2" ht="20" customHeight="1">
      <c r="B2" s="2" t="inlineStr">
        <is>
          <t>工作量按二级模块核算；蓝色单元格可调，金额 = 人天 × 角色单价（VLOOKUP）</t>
        </is>
      </c>
    </row>
    <row r="4">
      <c r="J4" s="5" t="inlineStr">
        <is>
          <t>角色单价（蓝字可调）</t>
        </is>
      </c>
      <c r="K4" s="6" t="n"/>
    </row>
    <row r="5" ht="24" customHeight="1">
      <c r="B5" s="9" t="inlineStr">
        <is>
          <t>序号</t>
        </is>
      </c>
      <c r="C5" s="9" t="inlineStr">
        <is>
          <t>二级模块</t>
        </is>
      </c>
      <c r="D5" s="9" t="inlineStr">
        <is>
          <t>角色</t>
        </is>
      </c>
      <c r="E5" s="9" t="inlineStr">
        <is>
          <t>人天</t>
        </is>
      </c>
      <c r="F5" s="9" t="inlineStr">
        <is>
          <t>单价(元/天)</t>
        </is>
      </c>
      <c r="G5" s="9" t="inlineStr">
        <is>
          <t>金额(元)</t>
        </is>
      </c>
      <c r="H5" s="9" t="inlineStr">
        <is>
          <t>功能说明</t>
        </is>
      </c>
      <c r="J5" s="7" t="inlineStr">
        <is>
          <t>角色</t>
        </is>
      </c>
      <c r="K5" s="7" t="inlineStr">
        <is>
          <t>元/天</t>
        </is>
      </c>
    </row>
    <row r="6" ht="32" customHeight="1">
      <c r="B6" s="44" t="inlineStr">
        <is>
          <t>2.1</t>
        </is>
      </c>
      <c r="C6" s="50" t="inlineStr">
        <is>
          <t>基础架构搭建</t>
        </is>
      </c>
      <c r="D6" s="4" t="inlineStr">
        <is>
          <t>前端开发工程师</t>
        </is>
      </c>
      <c r="E6" s="46" t="n">
        <v>4</v>
      </c>
      <c r="F6" s="37">
        <f>VLOOKUP(D6,$J$6:$K$13,2,FALSE)</f>
        <v/>
      </c>
      <c r="G6" s="37">
        <f>E6*F6</f>
        <v/>
      </c>
      <c r="H6" s="4" t="inlineStr">
        <is>
          <t>Vue 3 + Vite + Element Plus + Pinia + Vue Router + Axios 工程初始化、目录结构、权限路由</t>
        </is>
      </c>
      <c r="J6" s="4" t="inlineStr">
        <is>
          <t>小程序开发工程师</t>
        </is>
      </c>
      <c r="K6" s="8" t="n">
        <v>1300</v>
      </c>
    </row>
    <row r="7" ht="32" customHeight="1">
      <c r="B7" s="44" t="inlineStr">
        <is>
          <t>2.2</t>
        </is>
      </c>
      <c r="C7" s="50" t="inlineStr">
        <is>
          <t>公共组件库</t>
        </is>
      </c>
      <c r="D7" s="4" t="inlineStr">
        <is>
          <t>前端开发工程师</t>
        </is>
      </c>
      <c r="E7" s="46" t="n">
        <v>4</v>
      </c>
      <c r="F7" s="37">
        <f>VLOOKUP(D7,$J$6:$K$13,2,FALSE)</f>
        <v/>
      </c>
      <c r="G7" s="37">
        <f>E7*F7</f>
        <v/>
      </c>
      <c r="H7" s="4" t="inlineStr">
        <is>
          <t>表格（搜索/分页/列控制）、表单、对话框、上传、富文本、图表组件</t>
        </is>
      </c>
      <c r="J7" s="4" t="inlineStr">
        <is>
          <t>前端开发工程师</t>
        </is>
      </c>
      <c r="K7" s="8" t="n">
        <v>1300</v>
      </c>
    </row>
    <row r="8" ht="32" customHeight="1">
      <c r="B8" s="44" t="inlineStr">
        <is>
          <t>2.3</t>
        </is>
      </c>
      <c r="C8" s="50" t="inlineStr">
        <is>
          <t>登录与权限</t>
        </is>
      </c>
      <c r="D8" s="4" t="inlineStr">
        <is>
          <t>前端开发工程师</t>
        </is>
      </c>
      <c r="E8" s="46" t="n">
        <v>2</v>
      </c>
      <c r="F8" s="37">
        <f>VLOOKUP(D8,$J$6:$K$13,2,FALSE)</f>
        <v/>
      </c>
      <c r="G8" s="37">
        <f>E8*F8</f>
        <v/>
      </c>
      <c r="H8" s="4" t="inlineStr">
        <is>
          <t>账号密码登录、Token、路由守卫、按钮级权限、操作日志</t>
        </is>
      </c>
      <c r="J8" s="4" t="inlineStr">
        <is>
          <t>后端开发工程师</t>
        </is>
      </c>
      <c r="K8" s="8" t="n">
        <v>1500</v>
      </c>
    </row>
    <row r="9" ht="32" customHeight="1">
      <c r="B9" s="44" t="inlineStr">
        <is>
          <t>2.4</t>
        </is>
      </c>
      <c r="C9" s="50" t="inlineStr">
        <is>
          <t>仪表盘</t>
        </is>
      </c>
      <c r="D9" s="4" t="inlineStr">
        <is>
          <t>前端开发工程师</t>
        </is>
      </c>
      <c r="E9" s="46" t="n">
        <v>4</v>
      </c>
      <c r="F9" s="37">
        <f>VLOOKUP(D9,$J$6:$K$13,2,FALSE)</f>
        <v/>
      </c>
      <c r="G9" s="37">
        <f>E9*F9</f>
        <v/>
      </c>
      <c r="H9" s="4" t="inlineStr">
        <is>
          <t>核心指标卡片、订单/销售趋势图表、TOP 商品、待办任务</t>
        </is>
      </c>
      <c r="J9" s="4" t="inlineStr">
        <is>
          <t>UI 设计师</t>
        </is>
      </c>
      <c r="K9" s="8" t="n">
        <v>1000</v>
      </c>
    </row>
    <row r="10" ht="32" customHeight="1">
      <c r="B10" s="44" t="inlineStr">
        <is>
          <t>2.5</t>
        </is>
      </c>
      <c r="C10" s="50" t="inlineStr">
        <is>
          <t>商品管理-列表</t>
        </is>
      </c>
      <c r="D10" s="4" t="inlineStr">
        <is>
          <t>前端开发工程师</t>
        </is>
      </c>
      <c r="E10" s="46" t="n">
        <v>3</v>
      </c>
      <c r="F10" s="37">
        <f>VLOOKUP(D10,$J$6:$K$13,2,FALSE)</f>
        <v/>
      </c>
      <c r="G10" s="37">
        <f>E10*F10</f>
        <v/>
      </c>
      <c r="H10" s="4" t="inlineStr">
        <is>
          <t>商品列表、上架/下架、批量操作、修改价格/库存、详情预览</t>
        </is>
      </c>
      <c r="J10" s="4" t="inlineStr">
        <is>
          <t>测试工程师</t>
        </is>
      </c>
      <c r="K10" s="8" t="n">
        <v>900</v>
      </c>
    </row>
    <row r="11" ht="32" customHeight="1">
      <c r="B11" s="44" t="inlineStr">
        <is>
          <t>2.6</t>
        </is>
      </c>
      <c r="C11" s="50" t="inlineStr">
        <is>
          <t>商品管理-分类</t>
        </is>
      </c>
      <c r="D11" s="4" t="inlineStr">
        <is>
          <t>前端开发工程师</t>
        </is>
      </c>
      <c r="E11" s="46" t="n">
        <v>2</v>
      </c>
      <c r="F11" s="37">
        <f>VLOOKUP(D11,$J$6:$K$13,2,FALSE)</f>
        <v/>
      </c>
      <c r="G11" s="37">
        <f>E11*F11</f>
        <v/>
      </c>
      <c r="H11" s="4" t="inlineStr">
        <is>
          <t>分类树形结构、拖拽排序、新增/编辑/删除、关联商品</t>
        </is>
      </c>
      <c r="J11" s="4" t="inlineStr">
        <is>
          <t>运维工程师</t>
        </is>
      </c>
      <c r="K11" s="8" t="n">
        <v>1200</v>
      </c>
    </row>
    <row r="12" ht="32" customHeight="1">
      <c r="B12" s="44" t="inlineStr">
        <is>
          <t>2.7</t>
        </is>
      </c>
      <c r="C12" s="50" t="inlineStr">
        <is>
          <t>订单管理-列表</t>
        </is>
      </c>
      <c r="D12" s="4" t="inlineStr">
        <is>
          <t>前端开发工程师</t>
        </is>
      </c>
      <c r="E12" s="46" t="n">
        <v>3</v>
      </c>
      <c r="F12" s="37">
        <f>VLOOKUP(D12,$J$6:$K$13,2,FALSE)</f>
        <v/>
      </c>
      <c r="G12" s="37">
        <f>E12*F12</f>
        <v/>
      </c>
      <c r="H12" s="4" t="inlineStr">
        <is>
          <t>订单查询、状态筛选、状态流转、导出、详情查看</t>
        </is>
      </c>
      <c r="J12" s="4" t="inlineStr">
        <is>
          <t>项目经理</t>
        </is>
      </c>
      <c r="K12" s="8" t="n">
        <v>1500</v>
      </c>
    </row>
    <row r="13" ht="32" customHeight="1">
      <c r="B13" s="44" t="inlineStr">
        <is>
          <t>2.8</t>
        </is>
      </c>
      <c r="C13" s="50" t="inlineStr">
        <is>
          <t>订单管理-退款审核</t>
        </is>
      </c>
      <c r="D13" s="4" t="inlineStr">
        <is>
          <t>前端开发工程师</t>
        </is>
      </c>
      <c r="E13" s="46" t="n">
        <v>3</v>
      </c>
      <c r="F13" s="37">
        <f>VLOOKUP(D13,$J$6:$K$13,2,FALSE)</f>
        <v/>
      </c>
      <c r="G13" s="37">
        <f>E13*F13</f>
        <v/>
      </c>
      <c r="H13" s="4" t="inlineStr">
        <is>
          <t>退款申请列表、详情、凭证查看、同意/拒绝、原因记录</t>
        </is>
      </c>
      <c r="J13" s="4" t="inlineStr">
        <is>
          <t>架构师</t>
        </is>
      </c>
      <c r="K13" s="8" t="n">
        <v>2500</v>
      </c>
    </row>
    <row r="14" ht="32" customHeight="1">
      <c r="B14" s="44" t="inlineStr">
        <is>
          <t>2.9</t>
        </is>
      </c>
      <c r="C14" s="50" t="inlineStr">
        <is>
          <t>渠道商管理</t>
        </is>
      </c>
      <c r="D14" s="4" t="inlineStr">
        <is>
          <t>前端开发工程师</t>
        </is>
      </c>
      <c r="E14" s="46" t="n">
        <v>3</v>
      </c>
      <c r="F14" s="37">
        <f>VLOOKUP(D14,$J$6:$K$13,2,FALSE)</f>
        <v/>
      </c>
      <c r="G14" s="37">
        <f>E14*F14</f>
        <v/>
      </c>
      <c r="H14" s="4" t="inlineStr">
        <is>
          <t>渠道商列表、详情、入驻审核、佣金率配置、二维码生成</t>
        </is>
      </c>
    </row>
    <row r="15" ht="32" customHeight="1">
      <c r="B15" s="44" t="inlineStr">
        <is>
          <t>2.10</t>
        </is>
      </c>
      <c r="C15" s="50" t="inlineStr">
        <is>
          <t>供货商管理</t>
        </is>
      </c>
      <c r="D15" s="4" t="inlineStr">
        <is>
          <t>前端开发工程师</t>
        </is>
      </c>
      <c r="E15" s="46" t="n">
        <v>2</v>
      </c>
      <c r="F15" s="37">
        <f>VLOOKUP(D15,$J$6:$K$13,2,FALSE)</f>
        <v/>
      </c>
      <c r="G15" s="37">
        <f>E15*F15</f>
        <v/>
      </c>
      <c r="H15" s="4" t="inlineStr">
        <is>
          <t>供货商列表、详情、接单配置、结算账户</t>
        </is>
      </c>
    </row>
    <row r="16" ht="32" customHeight="1">
      <c r="B16" s="44" t="inlineStr">
        <is>
          <t>2.11</t>
        </is>
      </c>
      <c r="C16" s="50" t="inlineStr">
        <is>
          <t>地区运营管理</t>
        </is>
      </c>
      <c r="D16" s="4" t="inlineStr">
        <is>
          <t>前端开发工程师</t>
        </is>
      </c>
      <c r="E16" s="46" t="n">
        <v>2</v>
      </c>
      <c r="F16" s="37">
        <f>VLOOKUP(D16,$J$6:$K$13,2,FALSE)</f>
        <v/>
      </c>
      <c r="G16" s="37">
        <f>E16*F16</f>
        <v/>
      </c>
      <c r="H16" s="4" t="inlineStr">
        <is>
          <t>地区树、运营账号绑定、地区数据看板</t>
        </is>
      </c>
    </row>
    <row r="17" ht="32" customHeight="1">
      <c r="B17" s="44" t="inlineStr">
        <is>
          <t>2.12</t>
        </is>
      </c>
      <c r="C17" s="50" t="inlineStr">
        <is>
          <t>财务管理-账单</t>
        </is>
      </c>
      <c r="D17" s="4" t="inlineStr">
        <is>
          <t>前端开发工程师</t>
        </is>
      </c>
      <c r="E17" s="46" t="n">
        <v>3</v>
      </c>
      <c r="F17" s="37">
        <f>VLOOKUP(D17,$J$6:$K$13,2,FALSE)</f>
        <v/>
      </c>
      <c r="G17" s="37">
        <f>E17*F17</f>
        <v/>
      </c>
      <c r="H17" s="4" t="inlineStr">
        <is>
          <t>资金账单、佣金账单、对账、导出、结算操作</t>
        </is>
      </c>
    </row>
    <row r="18" ht="32" customHeight="1">
      <c r="B18" s="44" t="inlineStr">
        <is>
          <t>2.13</t>
        </is>
      </c>
      <c r="C18" s="50" t="inlineStr">
        <is>
          <t>Banner 营销管理</t>
        </is>
      </c>
      <c r="D18" s="4" t="inlineStr">
        <is>
          <t>前端开发工程师</t>
        </is>
      </c>
      <c r="E18" s="46" t="n">
        <v>2</v>
      </c>
      <c r="F18" s="37">
        <f>VLOOKUP(D18,$J$6:$K$13,2,FALSE)</f>
        <v/>
      </c>
      <c r="G18" s="37">
        <f>E18*F18</f>
        <v/>
      </c>
      <c r="H18" s="4" t="inlineStr">
        <is>
          <t>Banner 列表、图片上传、排序、生效时间、点击跳转</t>
        </is>
      </c>
    </row>
    <row r="19" ht="32" customHeight="1">
      <c r="B19" s="44" t="inlineStr">
        <is>
          <t>2.14</t>
        </is>
      </c>
      <c r="C19" s="50" t="inlineStr">
        <is>
          <t>系统配置-全局参数</t>
        </is>
      </c>
      <c r="D19" s="4" t="inlineStr">
        <is>
          <t>前端开发工程师</t>
        </is>
      </c>
      <c r="E19" s="46" t="n">
        <v>1</v>
      </c>
      <c r="F19" s="37">
        <f>VLOOKUP(D19,$J$6:$K$13,2,FALSE)</f>
        <v/>
      </c>
      <c r="G19" s="37">
        <f>E19*F19</f>
        <v/>
      </c>
      <c r="H19" s="4" t="inlineStr">
        <is>
          <t>系统开关、阈值、限流等参数化配置</t>
        </is>
      </c>
    </row>
    <row r="20" ht="32" customHeight="1">
      <c r="B20" s="44" t="inlineStr">
        <is>
          <t>2.15</t>
        </is>
      </c>
      <c r="C20" s="50" t="inlineStr">
        <is>
          <t>系统配置-内容装修</t>
        </is>
      </c>
      <c r="D20" s="4" t="inlineStr">
        <is>
          <t>前端开发工程师</t>
        </is>
      </c>
      <c r="E20" s="46" t="n">
        <v>3</v>
      </c>
      <c r="F20" s="37">
        <f>VLOOKUP(D20,$J$6:$K$13,2,FALSE)</f>
        <v/>
      </c>
      <c r="G20" s="37">
        <f>E20*F20</f>
        <v/>
      </c>
      <c r="H20" s="4" t="inlineStr">
        <is>
          <t>C 端首页 Banner 所见即所得装修、主副标题、Base64 背景图上传与预览</t>
        </is>
      </c>
    </row>
    <row r="21" ht="32" customHeight="1">
      <c r="B21" s="44" t="inlineStr">
        <is>
          <t>2.16</t>
        </is>
      </c>
      <c r="C21" s="50" t="inlineStr">
        <is>
          <t>系统配置-地区运营账号</t>
        </is>
      </c>
      <c r="D21" s="4" t="inlineStr">
        <is>
          <t>前端开发工程师</t>
        </is>
      </c>
      <c r="E21" s="46" t="n">
        <v>1</v>
      </c>
      <c r="F21" s="37">
        <f>VLOOKUP(D21,$J$6:$K$13,2,FALSE)</f>
        <v/>
      </c>
      <c r="G21" s="37">
        <f>E21*F21</f>
        <v/>
      </c>
      <c r="H21" s="4" t="inlineStr">
        <is>
          <t>地区运营账号管理、权限分配、绑定地区</t>
        </is>
      </c>
    </row>
    <row r="22" ht="32" customHeight="1">
      <c r="B22" s="44" t="inlineStr">
        <is>
          <t>2.17</t>
        </is>
      </c>
      <c r="C22" s="50" t="inlineStr">
        <is>
          <t>后台 UI 高保真设计</t>
        </is>
      </c>
      <c r="D22" s="4" t="inlineStr">
        <is>
          <t>UI 设计师</t>
        </is>
      </c>
      <c r="E22" s="46" t="n">
        <v>5</v>
      </c>
      <c r="F22" s="37">
        <f>VLOOKUP(D22,$J$6:$K$13,2,FALSE)</f>
        <v/>
      </c>
      <c r="G22" s="37">
        <f>E22*F22</f>
        <v/>
      </c>
      <c r="H22" s="4" t="inlineStr">
        <is>
          <t>高保真 HTML 模拟器、卡片化 Tab 布局、操作反馈设计、风格统一</t>
        </is>
      </c>
    </row>
    <row r="23" ht="32" customHeight="1">
      <c r="B23" s="44" t="inlineStr">
        <is>
          <t>2.18</t>
        </is>
      </c>
      <c r="C23" s="50" t="inlineStr">
        <is>
          <t>后台联调与缺陷修复</t>
        </is>
      </c>
      <c r="D23" s="4" t="inlineStr">
        <is>
          <t>前端开发工程师</t>
        </is>
      </c>
      <c r="E23" s="46" t="n">
        <v>4</v>
      </c>
      <c r="F23" s="37">
        <f>VLOOKUP(D23,$J$6:$K$13,2,FALSE)</f>
        <v/>
      </c>
      <c r="G23" s="37">
        <f>E23*F23</f>
        <v/>
      </c>
      <c r="H23" s="4" t="inlineStr">
        <is>
          <t>与后端接口联调、Bug 修复、IE/Edge/Chrome 兼容、性能优化</t>
        </is>
      </c>
    </row>
    <row r="24" ht="24" customHeight="1">
      <c r="B24" s="29" t="inlineStr"/>
      <c r="C24" s="28" t="inlineStr">
        <is>
          <t>小计</t>
        </is>
      </c>
      <c r="D24" s="47" t="inlineStr"/>
      <c r="E24" s="48">
        <f>SUM(E6:E23)</f>
        <v/>
      </c>
      <c r="F24" s="47" t="inlineStr"/>
      <c r="G24" s="31">
        <f>SUM(G6:G23)</f>
        <v/>
      </c>
      <c r="H24" s="49" t="inlineStr">
        <is>
          <t>—</t>
        </is>
      </c>
    </row>
  </sheetData>
  <mergeCells count="3">
    <mergeCell ref="B1:H1"/>
    <mergeCell ref="J4:K4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4" customWidth="1" min="3" max="3"/>
    <col width="50" customWidth="1" min="4" max="4"/>
    <col width="16" customWidth="1" min="5" max="5"/>
    <col width="10" customWidth="1" min="6" max="6"/>
    <col width="14" customWidth="1" min="7" max="7"/>
    <col width="14" customWidth="1" min="8" max="8"/>
    <col width="16" customWidth="1" min="10" max="10"/>
    <col width="10" customWidth="1" min="11" max="11"/>
  </cols>
  <sheetData>
    <row r="1" ht="28" customHeight="1">
      <c r="B1" s="1" t="inlineStr">
        <is>
          <t>三、配套支撑 — 为双端交付所必需的最少支撑项</t>
        </is>
      </c>
    </row>
    <row r="2" ht="20" customHeight="1">
      <c r="B2" s="2" t="inlineStr">
        <is>
          <t>聚焦维度外的支撑性工作，按实际发生工时结算；蓝色单元格可调</t>
        </is>
      </c>
    </row>
    <row r="4">
      <c r="J4" s="5" t="inlineStr">
        <is>
          <t>角色单价（蓝字可调）</t>
        </is>
      </c>
      <c r="K4" s="6" t="n"/>
    </row>
    <row r="5" ht="24" customHeight="1">
      <c r="B5" s="9" t="inlineStr">
        <is>
          <t>序号</t>
        </is>
      </c>
      <c r="C5" s="9" t="inlineStr">
        <is>
          <t>支撑项</t>
        </is>
      </c>
      <c r="D5" s="9" t="inlineStr">
        <is>
          <t>工作内容</t>
        </is>
      </c>
      <c r="E5" s="9" t="inlineStr">
        <is>
          <t>角色</t>
        </is>
      </c>
      <c r="F5" s="9" t="inlineStr">
        <is>
          <t>人天</t>
        </is>
      </c>
      <c r="G5" s="9" t="inlineStr">
        <is>
          <t>单价(元/天)</t>
        </is>
      </c>
      <c r="H5" s="9" t="inlineStr">
        <is>
          <t>金额(元)</t>
        </is>
      </c>
      <c r="J5" s="7" t="inlineStr">
        <is>
          <t>角色</t>
        </is>
      </c>
      <c r="K5" s="7" t="inlineStr">
        <is>
          <t>元/天</t>
        </is>
      </c>
    </row>
    <row r="6" ht="32" customHeight="1">
      <c r="B6" s="44" t="inlineStr">
        <is>
          <t>3.1</t>
        </is>
      </c>
      <c r="C6" s="51" t="inlineStr">
        <is>
          <t>后端接口联调支撑</t>
        </is>
      </c>
      <c r="D6" s="4" t="inlineStr">
        <is>
          <t>后端 Java Spring Boot 工程师配合小程序/后台联调，处理接口联调问题、字段对齐、版本同步</t>
        </is>
      </c>
      <c r="E6" s="4" t="inlineStr">
        <is>
          <t>后端开发工程师</t>
        </is>
      </c>
      <c r="F6" s="46" t="n">
        <v>10</v>
      </c>
      <c r="G6" s="37">
        <f>VLOOKUP(E6,$J$6:$K$13,2,FALSE)</f>
        <v/>
      </c>
      <c r="H6" s="37">
        <f>F6*G6</f>
        <v/>
      </c>
      <c r="J6" s="4" t="inlineStr">
        <is>
          <t>小程序开发工程师</t>
        </is>
      </c>
      <c r="K6" s="8" t="n">
        <v>1300</v>
      </c>
    </row>
    <row r="7" ht="32" customHeight="1">
      <c r="B7" s="44" t="inlineStr">
        <is>
          <t>3.2</t>
        </is>
      </c>
      <c r="C7" s="51" t="inlineStr">
        <is>
          <t>测试与质量保障</t>
        </is>
      </c>
      <c r="D7" s="4" t="inlineStr">
        <is>
          <t>功能用例执行、回归、Bug 跟踪与回归验证（双端）</t>
        </is>
      </c>
      <c r="E7" s="4" t="inlineStr">
        <is>
          <t>测试工程师</t>
        </is>
      </c>
      <c r="F7" s="46" t="n">
        <v>12</v>
      </c>
      <c r="G7" s="37">
        <f>VLOOKUP(E7,$J$6:$K$13,2,FALSE)</f>
        <v/>
      </c>
      <c r="H7" s="37">
        <f>F7*G7</f>
        <v/>
      </c>
      <c r="J7" s="4" t="inlineStr">
        <is>
          <t>前端开发工程师</t>
        </is>
      </c>
      <c r="K7" s="8" t="n">
        <v>1300</v>
      </c>
    </row>
    <row r="8" ht="32" customHeight="1">
      <c r="B8" s="44" t="inlineStr">
        <is>
          <t>3.3</t>
        </is>
      </c>
      <c r="C8" s="51" t="inlineStr">
        <is>
          <t>项目管理</t>
        </is>
      </c>
      <c r="D8" s="4" t="inlineStr">
        <is>
          <t>项目计划制定、进度跟踪、需求变更控制、跨端沟通协调、文档管理</t>
        </is>
      </c>
      <c r="E8" s="4" t="inlineStr">
        <is>
          <t>项目经理</t>
        </is>
      </c>
      <c r="F8" s="46" t="n">
        <v>8</v>
      </c>
      <c r="G8" s="37">
        <f>VLOOKUP(E8,$J$6:$K$13,2,FALSE)</f>
        <v/>
      </c>
      <c r="H8" s="37">
        <f>F8*G8</f>
        <v/>
      </c>
      <c r="J8" s="4" t="inlineStr">
        <is>
          <t>后端开发工程师</t>
        </is>
      </c>
      <c r="K8" s="8" t="n">
        <v>1500</v>
      </c>
    </row>
    <row r="9" ht="32" customHeight="1">
      <c r="B9" s="44" t="inlineStr">
        <is>
          <t>3.4</t>
        </is>
      </c>
      <c r="C9" s="51" t="inlineStr">
        <is>
          <t>部署与上线支持</t>
        </is>
      </c>
      <c r="D9" s="4" t="inlineStr">
        <is>
          <t>Docker 镜像构建、CI/CD、首次部署、上线后 7×8 小时值守</t>
        </is>
      </c>
      <c r="E9" s="4" t="inlineStr">
        <is>
          <t>运维工程师</t>
        </is>
      </c>
      <c r="F9" s="46" t="n">
        <v>5</v>
      </c>
      <c r="G9" s="37">
        <f>VLOOKUP(E9,$J$6:$K$13,2,FALSE)</f>
        <v/>
      </c>
      <c r="H9" s="37">
        <f>F9*G9</f>
        <v/>
      </c>
      <c r="J9" s="4" t="inlineStr">
        <is>
          <t>UI 设计师</t>
        </is>
      </c>
      <c r="K9" s="8" t="n">
        <v>1000</v>
      </c>
    </row>
    <row r="10" ht="24" customHeight="1">
      <c r="B10" s="29" t="inlineStr"/>
      <c r="C10" s="28" t="inlineStr">
        <is>
          <t>小计</t>
        </is>
      </c>
      <c r="D10" s="49" t="inlineStr">
        <is>
          <t>—</t>
        </is>
      </c>
      <c r="E10" s="47" t="inlineStr"/>
      <c r="F10" s="48">
        <f>SUM(F6:F9)</f>
        <v/>
      </c>
      <c r="G10" s="47" t="inlineStr"/>
      <c r="H10" s="31">
        <f>SUM(H6:H9)</f>
        <v/>
      </c>
      <c r="J10" s="4" t="inlineStr">
        <is>
          <t>测试工程师</t>
        </is>
      </c>
      <c r="K10" s="8" t="n">
        <v>900</v>
      </c>
    </row>
    <row r="11">
      <c r="J11" s="4" t="inlineStr">
        <is>
          <t>运维工程师</t>
        </is>
      </c>
      <c r="K11" s="8" t="n">
        <v>1200</v>
      </c>
    </row>
    <row r="12">
      <c r="J12" s="4" t="inlineStr">
        <is>
          <t>项目经理</t>
        </is>
      </c>
      <c r="K12" s="8" t="n">
        <v>1500</v>
      </c>
    </row>
    <row r="13">
      <c r="J13" s="4" t="inlineStr">
        <is>
          <t>架构师</t>
        </is>
      </c>
      <c r="K13" s="8" t="n">
        <v>2500</v>
      </c>
    </row>
  </sheetData>
  <mergeCells count="3">
    <mergeCell ref="B1:H1"/>
    <mergeCell ref="J4:K4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0" customWidth="1" min="3" max="3"/>
  </cols>
  <sheetData>
    <row r="1" ht="28" customHeight="1">
      <c r="B1" s="1" t="inlineStr">
        <is>
          <t>报价说明与假设</t>
        </is>
      </c>
    </row>
    <row r="3" ht="22" customHeight="1">
      <c r="B3" s="7" t="inlineStr">
        <is>
          <t>条款</t>
        </is>
      </c>
      <c r="C3" s="7" t="inlineStr">
        <is>
          <t>内容</t>
        </is>
      </c>
    </row>
    <row r="4" ht="48" customHeight="1">
      <c r="B4" s="41" t="inlineStr">
        <is>
          <t>报价范围</t>
        </is>
      </c>
      <c r="C4" s="4" t="inlineStr">
        <is>
          <t>本次报价聚焦于体彩衍生品商城小程序的 C 端小程序（UniApp + Vue 3）与运营管理后台（Vue 3 + Element Plus）两个核心交付维度。后端服务（Spring Boot 13 模块、32 张数据表）已开发完成，本报价仅按需投入联调工时，不重复计费。</t>
        </is>
      </c>
    </row>
    <row r="5" ht="48" customHeight="1">
      <c r="B5" s="41" t="inlineStr">
        <is>
          <t>计价方式</t>
        </is>
      </c>
      <c r="C5" s="4" t="inlineStr">
        <is>
          <t>人天计费：按二级模块逐项核算工作量（蓝色单元格可调），金额 = 人天 × 角色单价；角色单价右侧比照表可整表调整，所有金额自动重算。</t>
        </is>
      </c>
    </row>
    <row r="6" ht="48" customHeight="1">
      <c r="B6" s="41" t="inlineStr">
        <is>
          <t>角色单价依据</t>
        </is>
      </c>
      <c r="C6" s="4" t="inlineStr">
        <is>
          <t>依据 2026 年中国中端软件外包市场行情：架构师 ¥2500、后端 ¥1500、前端/小程序 ¥1300、UI ¥1000、测试 ¥900、运维 ¥1200、PM ¥1500。</t>
        </is>
      </c>
    </row>
    <row r="7" ht="48" customHeight="1">
      <c r="B7" s="41" t="inlineStr">
        <is>
          <t>工作日</t>
        </is>
      </c>
      <c r="C7" s="4" t="inlineStr">
        <is>
          <t>1 人天 = 1 个工程师 1 天（8 小时）有效产出，不含沟通、会议、低效时间。</t>
        </is>
      </c>
    </row>
    <row r="8" ht="48" customHeight="1">
      <c r="B8" s="41" t="inlineStr">
        <is>
          <t>包含内容</t>
        </is>
      </c>
      <c r="C8" s="4" t="inlineStr">
        <is>
          <t>需求评审、二级模块设计、编码实现、单元自测、Code Review 配合、内部联调、Bug 修复一轮、代码移交、必要的文档编写。</t>
        </is>
      </c>
    </row>
    <row r="9" ht="48" customHeight="1">
      <c r="B9" s="41" t="inlineStr">
        <is>
          <t>不包含内容</t>
        </is>
      </c>
      <c r="C9" s="4" t="inlineStr">
        <is>
          <t>服务器/域名/SSL 等基础设施费用、第三方服务费（短信/支付/对象存储）、微信审核费、超过一轮的需求变更与重构、数据迁移（除非另议）、上线后长期运维（按月另议）。</t>
        </is>
      </c>
    </row>
    <row r="10" ht="48" customHeight="1">
      <c r="B10" s="41" t="inlineStr">
        <is>
          <t>里程碑付款</t>
        </is>
      </c>
      <c r="C10" s="4" t="inlineStr">
        <is>
          <t>建议里程碑：①合同签订 30%  ②C 端提测 30%  ③后台提测 20%  ④验收上线 20%（具体比例可协商）。</t>
        </is>
      </c>
    </row>
    <row r="11" ht="48" customHeight="1">
      <c r="B11" s="41" t="inlineStr">
        <is>
          <t>交付物</t>
        </is>
      </c>
      <c r="C11" s="4" t="inlineStr">
        <is>
          <t>源代码、构建产物、API 联调文档、部署手册、运维交接文档、双端高保真 HTML 模拟器。</t>
        </is>
      </c>
    </row>
    <row r="12" ht="48" customHeight="1">
      <c r="B12" s="41" t="inlineStr">
        <is>
          <t>知识产权</t>
        </is>
      </c>
      <c r="C12" s="4" t="inlineStr">
        <is>
          <t>项目尾款付清后，源代码及文档知识产权归委托方所有；乙方保留通用工具与组件的复用权。</t>
        </is>
      </c>
    </row>
    <row r="13" ht="48" customHeight="1">
      <c r="B13" s="41" t="inlineStr">
        <is>
          <t>风险与变更</t>
        </is>
      </c>
      <c r="C13" s="4" t="inlineStr">
        <is>
          <t>需求变更超过总人天 10% 需签订补充协议；不可抗力（政策合规调整等）双方协商。</t>
        </is>
      </c>
    </row>
    <row r="14" ht="48" customHeight="1">
      <c r="B14" s="41" t="inlineStr">
        <is>
          <t>有效期</t>
        </is>
      </c>
      <c r="C14" s="4" t="inlineStr">
        <is>
          <t>本报价自报价日起 30 天内有效；逾期需重新评估工作量与单价。</t>
        </is>
      </c>
    </row>
    <row r="15" ht="48" customHeight="1">
      <c r="B15" s="41" t="inlineStr">
        <is>
          <t>备注</t>
        </is>
      </c>
      <c r="C15" s="4" t="inlineStr">
        <is>
          <t>工作量按标准复杂度估算；若客户对 UI/交互/性能有定制化高要求，工时需上浮 10%~30%。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2026-06-25T04:47:31Z</dcterms:created>
  <dcterms:modified xmlns:dcterms="http://purl.org/dc/terms/" xmlns:xsi="http://www.w3.org/2001/XMLSchema-instance" xsi:type="dcterms:W3CDTF">2026-06-25T04:47:31Z</dcterms:modified>
</cp:coreProperties>
</file>